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Documents\University\Year 2\Semester 2\Game Programming\"/>
    </mc:Choice>
  </mc:AlternateContent>
  <xr:revisionPtr revIDLastSave="0" documentId="13_ncr:1_{A03E1636-E394-49FD-8066-4AF7D5985E86}" xr6:coauthVersionLast="47" xr6:coauthVersionMax="47" xr10:uidLastSave="{00000000-0000-0000-0000-000000000000}"/>
  <bookViews>
    <workbookView xWindow="-120" yWindow="-120" windowWidth="29040" windowHeight="15840" activeTab="2" xr2:uid="{D4AF066D-E5DA-4EF0-AFD6-1DF67E3219DD}"/>
  </bookViews>
  <sheets>
    <sheet name="Crafting System" sheetId="1" r:id="rId1"/>
    <sheet name="Terrain Generation" sheetId="5" r:id="rId2"/>
    <sheet name="Day &amp; Night Cycle" sheetId="6" r:id="rId3"/>
    <sheet name="ItemWeapon System" sheetId="8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1" i="8" l="1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" i="8"/>
  <c r="F3" i="8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F4" i="6"/>
  <c r="F3" i="6"/>
  <c r="F8" i="5"/>
  <c r="F4" i="5"/>
  <c r="F5" i="5"/>
  <c r="F6" i="5"/>
  <c r="F7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3" i="5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3" i="1"/>
  <c r="H3" i="1" s="1"/>
  <c r="H16" i="8" l="1"/>
  <c r="I16" i="8" s="1"/>
  <c r="H18" i="8"/>
  <c r="I18" i="8" s="1"/>
  <c r="H3" i="8"/>
  <c r="I3" i="8" s="1"/>
  <c r="H17" i="8"/>
  <c r="I17" i="8" s="1"/>
  <c r="H11" i="8"/>
  <c r="I11" i="8" s="1"/>
  <c r="H19" i="8"/>
  <c r="I19" i="8" s="1"/>
  <c r="H20" i="8"/>
  <c r="I20" i="8" s="1"/>
  <c r="H7" i="8"/>
  <c r="I7" i="8" s="1"/>
  <c r="H15" i="8"/>
  <c r="I15" i="8" s="1"/>
  <c r="H6" i="8"/>
  <c r="I6" i="8" s="1"/>
  <c r="H14" i="8"/>
  <c r="I14" i="8" s="1"/>
  <c r="H9" i="8"/>
  <c r="I9" i="8" s="1"/>
  <c r="H5" i="8"/>
  <c r="I5" i="8" s="1"/>
  <c r="H13" i="8"/>
  <c r="I13" i="8" s="1"/>
  <c r="H21" i="8"/>
  <c r="I21" i="8" s="1"/>
  <c r="H4" i="8"/>
  <c r="I4" i="8" s="1"/>
  <c r="H12" i="8"/>
  <c r="I12" i="8" s="1"/>
  <c r="H10" i="8"/>
  <c r="I10" i="8" s="1"/>
  <c r="H8" i="8"/>
  <c r="I8" i="8" s="1"/>
  <c r="H21" i="6"/>
  <c r="I21" i="6" s="1"/>
  <c r="H3" i="6"/>
  <c r="I3" i="6" s="1"/>
  <c r="H11" i="6"/>
  <c r="I11" i="6" s="1"/>
  <c r="H19" i="6"/>
  <c r="I19" i="6" s="1"/>
  <c r="H16" i="6"/>
  <c r="I16" i="6" s="1"/>
  <c r="H6" i="6"/>
  <c r="I6" i="6" s="1"/>
  <c r="H14" i="6"/>
  <c r="I14" i="6" s="1"/>
  <c r="H17" i="6"/>
  <c r="I17" i="6" s="1"/>
  <c r="H4" i="6"/>
  <c r="I4" i="6" s="1"/>
  <c r="H12" i="6"/>
  <c r="I12" i="6" s="1"/>
  <c r="H20" i="6"/>
  <c r="I20" i="6" s="1"/>
  <c r="H8" i="6"/>
  <c r="I8" i="6" s="1"/>
  <c r="H9" i="6"/>
  <c r="I9" i="6" s="1"/>
  <c r="H7" i="6"/>
  <c r="I7" i="6" s="1"/>
  <c r="H10" i="6"/>
  <c r="I10" i="6" s="1"/>
  <c r="H18" i="6"/>
  <c r="I18" i="6" s="1"/>
  <c r="H15" i="6"/>
  <c r="I15" i="6" s="1"/>
  <c r="H5" i="6"/>
  <c r="I5" i="6" s="1"/>
  <c r="H13" i="6"/>
  <c r="I13" i="6" s="1"/>
  <c r="H8" i="5"/>
  <c r="I8" i="5" s="1"/>
  <c r="H7" i="5"/>
  <c r="I7" i="5" s="1"/>
  <c r="H5" i="5"/>
  <c r="I5" i="5" s="1"/>
  <c r="H6" i="5"/>
  <c r="I6" i="5" s="1"/>
  <c r="H16" i="5"/>
  <c r="I16" i="5" s="1"/>
  <c r="H11" i="5"/>
  <c r="I11" i="5" s="1"/>
  <c r="H3" i="5"/>
  <c r="I3" i="5" s="1"/>
  <c r="H10" i="5"/>
  <c r="I10" i="5" s="1"/>
  <c r="H17" i="5"/>
  <c r="I17" i="5" s="1"/>
  <c r="H4" i="5"/>
  <c r="I4" i="5" s="1"/>
  <c r="H18" i="5"/>
  <c r="I18" i="5" s="1"/>
  <c r="H13" i="5"/>
  <c r="I13" i="5" s="1"/>
  <c r="H19" i="5"/>
  <c r="I19" i="5" s="1"/>
  <c r="H12" i="5"/>
  <c r="I12" i="5" s="1"/>
  <c r="H14" i="5"/>
  <c r="I14" i="5" s="1"/>
  <c r="H9" i="5"/>
  <c r="I9" i="5" s="1"/>
  <c r="H20" i="5"/>
  <c r="I20" i="5" s="1"/>
  <c r="H15" i="5"/>
  <c r="I15" i="5" s="1"/>
  <c r="H21" i="5"/>
  <c r="I21" i="5" s="1"/>
  <c r="H9" i="1"/>
  <c r="I9" i="1" s="1"/>
  <c r="H18" i="1"/>
  <c r="I18" i="1" s="1"/>
  <c r="H10" i="1"/>
  <c r="I10" i="1" s="1"/>
  <c r="H16" i="1"/>
  <c r="I16" i="1" s="1"/>
  <c r="H15" i="1"/>
  <c r="I15" i="1" s="1"/>
  <c r="H14" i="1"/>
  <c r="I14" i="1" s="1"/>
  <c r="H6" i="1"/>
  <c r="I6" i="1" s="1"/>
  <c r="H21" i="1"/>
  <c r="I21" i="1" s="1"/>
  <c r="H13" i="1"/>
  <c r="I13" i="1" s="1"/>
  <c r="H5" i="1"/>
  <c r="I5" i="1" s="1"/>
  <c r="H20" i="1"/>
  <c r="I20" i="1" s="1"/>
  <c r="H12" i="1"/>
  <c r="I12" i="1" s="1"/>
  <c r="H4" i="1"/>
  <c r="I4" i="1" s="1"/>
  <c r="H17" i="1"/>
  <c r="I17" i="1" s="1"/>
  <c r="H8" i="1"/>
  <c r="I8" i="1" s="1"/>
  <c r="H7" i="1"/>
  <c r="I7" i="1" s="1"/>
  <c r="H19" i="1"/>
  <c r="I19" i="1" s="1"/>
  <c r="H11" i="1"/>
  <c r="I11" i="1" s="1"/>
  <c r="I3" i="1"/>
</calcChain>
</file>

<file path=xl/sharedStrings.xml><?xml version="1.0" encoding="utf-8"?>
<sst xmlns="http://schemas.openxmlformats.org/spreadsheetml/2006/main" count="53" uniqueCount="26">
  <si>
    <t>Date</t>
  </si>
  <si>
    <t>Start Time</t>
  </si>
  <si>
    <t>End Time</t>
  </si>
  <si>
    <t>Break Time</t>
  </si>
  <si>
    <t>Duration</t>
  </si>
  <si>
    <t>Discription</t>
  </si>
  <si>
    <t>Estimated Time</t>
  </si>
  <si>
    <t>Error %</t>
  </si>
  <si>
    <t>Adjusted Estimate</t>
  </si>
  <si>
    <t>Create the core crafting system, get the item to craft and compare whats on the table to what is needed.</t>
  </si>
  <si>
    <t>Link the crafting book to the crafting system using events, so can add extra functionality in later if needed.</t>
  </si>
  <si>
    <t>Format the items correctly in lists, so the items needed are numbered.</t>
  </si>
  <si>
    <t>Looking into marching cubes and how it works</t>
  </si>
  <si>
    <t>Figuring out how marching cubes works so I can then make my own marching cubes package. But instead looked up how to do simple mesh generation as it is easier to understand.</t>
  </si>
  <si>
    <t>Carrying on with the terrain generation.</t>
  </si>
  <si>
    <t>Added the texture back to the mesh and the chunks all have the orect mesh.</t>
  </si>
  <si>
    <t>Added colliders to the mesh, and fixed holes and the normals of the mesh.</t>
  </si>
  <si>
    <t>Adding colours to the mesh depending on height and slope angle</t>
  </si>
  <si>
    <t>Optimising</t>
  </si>
  <si>
    <t>More optimising</t>
  </si>
  <si>
    <t>Creating a day and night cycle that counts seconds, minutes and hours, and converts them into seasons and years.</t>
  </si>
  <si>
    <t>Fixing the sun rotation in relations to the time of day.</t>
  </si>
  <si>
    <t>Able to save asset</t>
  </si>
  <si>
    <t>Fixed a issue where the scriptable objects werent saving when unity closed</t>
  </si>
  <si>
    <t>Created the custom UI to create, edit and delete the items</t>
  </si>
  <si>
    <t>Made it so the intensity of the sun changes depending on the time, as this stops shadows appearing from under the world when its night time.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</si>
</sst>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49" fontId="0" fillId="0" borderId="0" xfId="0" applyNumberFormat="1" applyAlignment="1">
      <alignment wrapText="1"/>
    </xf>
    <xf numFmtId="14" fontId="0" fillId="0" borderId="0" xfId="0" applyNumberFormat="1" applyAlignment="1">
      <alignment horizontal="right" vertical="center"/>
    </xf>
    <xf numFmtId="164" fontId="0" fillId="0" borderId="0" xfId="0" applyNumberFormat="1" applyAlignment="1">
      <alignment horizontal="right" vertical="center"/>
    </xf>
    <xf numFmtId="10" fontId="0" fillId="0" borderId="0" xfId="0" applyNumberFormat="1" applyAlignment="1">
      <alignment horizontal="right" vertical="center"/>
    </xf>
    <xf numFmtId="49" fontId="0" fillId="0" borderId="0" xfId="0" applyNumberFormat="1" applyAlignment="1">
      <alignment vertical="center" wrapText="1"/>
    </xf>
  </cellXfs>
  <cellStyles count="1">
    <cellStyle name="Normal" xfId="0" builtinId="0"/>
  </cellStyles>
  <dxfs count="36">
    <dxf>
      <numFmt numFmtId="30" formatCode="@"/>
      <alignment horizontal="general" vertical="bottom" textRotation="0" wrapText="1" indent="0" justifyLastLine="0" shrinkToFit="0" readingOrder="0"/>
    </dxf>
    <dxf>
      <numFmt numFmtId="164" formatCode="[$-F400]h:mm:ss\ AM/PM"/>
    </dxf>
    <dxf>
      <numFmt numFmtId="14" formatCode="0.00%"/>
    </dxf>
    <dxf>
      <numFmt numFmtId="164" formatCode="[$-F400]h:mm:ss\ AM/PM"/>
    </dxf>
    <dxf>
      <numFmt numFmtId="164" formatCode="[$-F400]h:mm:ss\ AM/PM"/>
    </dxf>
    <dxf>
      <numFmt numFmtId="164" formatCode="[$-F400]h:mm:ss\ AM/PM"/>
    </dxf>
    <dxf>
      <numFmt numFmtId="164" formatCode="[$-F400]h:mm:ss\ AM/PM"/>
    </dxf>
    <dxf>
      <numFmt numFmtId="164" formatCode="[$-F400]h:mm:ss\ AM/PM"/>
    </dxf>
    <dxf>
      <numFmt numFmtId="19" formatCode="dd/mm/yyyy"/>
    </dxf>
    <dxf>
      <numFmt numFmtId="30" formatCode="@"/>
      <alignment horizontal="general" vertical="bottom" textRotation="0" wrapText="1" indent="0" justifyLastLine="0" shrinkToFit="0" readingOrder="0"/>
    </dxf>
    <dxf>
      <numFmt numFmtId="164" formatCode="[$-F400]h:mm:ss\ AM/PM"/>
    </dxf>
    <dxf>
      <numFmt numFmtId="14" formatCode="0.00%"/>
    </dxf>
    <dxf>
      <numFmt numFmtId="164" formatCode="[$-F400]h:mm:ss\ AM/PM"/>
    </dxf>
    <dxf>
      <numFmt numFmtId="164" formatCode="[$-F400]h:mm:ss\ AM/PM"/>
    </dxf>
    <dxf>
      <numFmt numFmtId="164" formatCode="[$-F400]h:mm:ss\ AM/PM"/>
    </dxf>
    <dxf>
      <numFmt numFmtId="164" formatCode="[$-F400]h:mm:ss\ AM/PM"/>
    </dxf>
    <dxf>
      <numFmt numFmtId="164" formatCode="[$-F400]h:mm:ss\ AM/PM"/>
    </dxf>
    <dxf>
      <numFmt numFmtId="19" formatCode="dd/mm/yyyy"/>
    </dxf>
    <dxf>
      <numFmt numFmtId="30" formatCode="@"/>
      <alignment horizontal="general" vertical="bottom" textRotation="0" wrapText="1" indent="0" justifyLastLine="0" shrinkToFit="0" readingOrder="0"/>
    </dxf>
    <dxf>
      <numFmt numFmtId="164" formatCode="[$-F400]h:mm:ss\ AM/PM"/>
    </dxf>
    <dxf>
      <numFmt numFmtId="14" formatCode="0.00%"/>
    </dxf>
    <dxf>
      <numFmt numFmtId="164" formatCode="[$-F400]h:mm:ss\ AM/PM"/>
    </dxf>
    <dxf>
      <numFmt numFmtId="164" formatCode="[$-F400]h:mm:ss\ AM/PM"/>
    </dxf>
    <dxf>
      <numFmt numFmtId="164" formatCode="[$-F400]h:mm:ss\ AM/PM"/>
    </dxf>
    <dxf>
      <numFmt numFmtId="164" formatCode="[$-F400]h:mm:ss\ AM/PM"/>
    </dxf>
    <dxf>
      <numFmt numFmtId="164" formatCode="[$-F400]h:mm:ss\ AM/PM"/>
    </dxf>
    <dxf>
      <numFmt numFmtId="19" formatCode="dd/mm/yyyy"/>
    </dxf>
    <dxf>
      <numFmt numFmtId="30" formatCode="@"/>
      <alignment horizontal="general" vertical="bottom" textRotation="0" wrapText="1" indent="0" justifyLastLine="0" shrinkToFit="0" readingOrder="0"/>
    </dxf>
    <dxf>
      <numFmt numFmtId="164" formatCode="[$-F400]h:mm:ss\ AM/PM"/>
    </dxf>
    <dxf>
      <numFmt numFmtId="14" formatCode="0.00%"/>
    </dxf>
    <dxf>
      <numFmt numFmtId="164" formatCode="[$-F400]h:mm:ss\ AM/PM"/>
    </dxf>
    <dxf>
      <numFmt numFmtId="164" formatCode="[$-F400]h:mm:ss\ AM/PM"/>
    </dxf>
    <dxf>
      <numFmt numFmtId="164" formatCode="[$-F400]h:mm:ss\ AM/PM"/>
    </dxf>
    <dxf>
      <numFmt numFmtId="164" formatCode="[$-F400]h:mm:ss\ AM/PM"/>
    </dxf>
    <dxf>
      <numFmt numFmtId="164" formatCode="[$-F400]h:mm:ss\ AM/PM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DFC59EA-44C1-4564-A803-323C68E79F21}" name="CraftingSystemLogs" displayName="CraftingSystemLogs" ref="B2:J21">
  <autoFilter ref="B2:J21" xr:uid="{0DFC59EA-44C1-4564-A803-323C68E79F21}"/>
  <tableColumns count="9">
    <tableColumn id="1" xr3:uid="{22EED2CA-A378-42C5-B68D-99114B57A9F3}" name="Date" totalsRowLabel="Total" dataDxfId="35"/>
    <tableColumn id="2" xr3:uid="{3C4AE416-5BDB-4DD6-AED4-21F672D719FC}" name="Start Time" dataDxfId="34"/>
    <tableColumn id="3" xr3:uid="{0AF6751C-F6B9-4EAE-A49D-DBDBC9F8D81F}" name="End Time" dataDxfId="33"/>
    <tableColumn id="4" xr3:uid="{D94CC490-AFB6-4FD5-90DD-F8695243574D}" name="Break Time" dataDxfId="32"/>
    <tableColumn id="5" xr3:uid="{F0BF92BC-967A-4880-BD26-9C0F5DFA97BA}" name="Duration" dataDxfId="31">
      <calculatedColumnFormula>(CraftingSystemLogs[[#This Row],[End Time]]-CraftingSystemLogs[[#This Row],[Start Time]])-CraftingSystemLogs[[#This Row],[Break Time]]</calculatedColumnFormula>
    </tableColumn>
    <tableColumn id="6" xr3:uid="{038074BC-4D16-474A-B509-30D7E0FD0A35}" name="Estimated Time" totalsRowFunction="count" dataDxfId="30"/>
    <tableColumn id="8" xr3:uid="{9E41BA04-7806-4201-B71B-9F813F20A530}" name="Error %" totalsRowFunction="count" dataDxfId="29">
      <calculatedColumnFormula>SUM($F$3:F3)/SUM($G$3:G3)</calculatedColumnFormula>
    </tableColumn>
    <tableColumn id="9" xr3:uid="{53C0A8C2-CFDC-445D-B368-518F813F5484}" name="Adjusted Estimate" totalsRowFunction="count" dataDxfId="28">
      <calculatedColumnFormula>SUM(CraftingSystemLogs[[#This Row],[Duration]]*CraftingSystemLogs[[#This Row],[Error %]])</calculatedColumnFormula>
    </tableColumn>
    <tableColumn id="7" xr3:uid="{248F30D8-7D12-4617-9109-C6AC49CFB7B1}" name="Discription" totalsRowFunction="count" dataDxfId="27"/>
  </tableColumns>
  <tableStyleInfo name="TableStyleMedium2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60F7FFC-6925-4EB1-9C77-90D603234214}" name="TerrainGenerationLogs" displayName="TerrainGenerationLogs" ref="B2:J21">
  <autoFilter ref="B2:J21" xr:uid="{0DFC59EA-44C1-4564-A803-323C68E79F21}"/>
  <tableColumns count="9">
    <tableColumn id="1" xr3:uid="{FDFEEF4C-94DF-45F9-BA6D-85BBEAE99ACF}" name="Date" totalsRowLabel="Total" dataDxfId="26"/>
    <tableColumn id="2" xr3:uid="{D8180762-9E81-40DB-AFE5-AF0BE99B01A9}" name="Start Time" dataDxfId="25"/>
    <tableColumn id="3" xr3:uid="{C91F94D4-7B3C-4597-B96C-ACABC2A712DD}" name="End Time" dataDxfId="24"/>
    <tableColumn id="4" xr3:uid="{4799B29E-5A03-472C-97BC-AD7FEE9BEC27}" name="Break Time" dataDxfId="23"/>
    <tableColumn id="5" xr3:uid="{E7D306E5-B8E9-4C95-98E2-0F3A8F7FF901}" name="Duration" dataDxfId="22">
      <calculatedColumnFormula>(TerrainGenerationLogs[[#This Row],[End Time]]-TerrainGenerationLogs[[#This Row],[Start Time]])-TerrainGenerationLogs[[#This Row],[Break Time]]</calculatedColumnFormula>
    </tableColumn>
    <tableColumn id="6" xr3:uid="{039F1495-115A-498F-9186-0B0B696ADE2B}" name="Estimated Time" totalsRowFunction="count" dataDxfId="21"/>
    <tableColumn id="8" xr3:uid="{12F55219-686F-4726-BA9F-57A7F2D361CB}" name="Error %" totalsRowFunction="count" dataDxfId="20">
      <calculatedColumnFormula>SUM($F$3:F3)/SUM($G$3:G3)</calculatedColumnFormula>
    </tableColumn>
    <tableColumn id="9" xr3:uid="{F2CAE332-78D3-400C-AF88-BC61C062D64B}" name="Adjusted Estimate" totalsRowFunction="count" dataDxfId="19">
      <calculatedColumnFormula>SUM(TerrainGenerationLogs[[#This Row],[Duration]]*TerrainGenerationLogs[[#This Row],[Error %]])</calculatedColumnFormula>
    </tableColumn>
    <tableColumn id="7" xr3:uid="{A94E9B4C-C576-42DC-936A-35E2332A8F2E}" name="Discription" totalsRowFunction="count" dataDxfId="18"/>
  </tableColumns>
  <tableStyleInfo name="TableStyleMedium2" showFirstColumn="1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E912BC7-4EC8-41CE-B148-460DBDA01A7A}" name="DayAndNightLogs" displayName="DayAndNightLogs" ref="B2:J21">
  <autoFilter ref="B2:J21" xr:uid="{0DFC59EA-44C1-4564-A803-323C68E79F21}"/>
  <tableColumns count="9">
    <tableColumn id="1" xr3:uid="{8A76031E-61DD-4257-86A0-116EA68B8F2F}" name="Date" totalsRowLabel="Total" dataDxfId="17"/>
    <tableColumn id="2" xr3:uid="{A5DD805D-FFDA-4F22-86C9-BDF4EE758FCB}" name="Start Time" dataDxfId="16"/>
    <tableColumn id="3" xr3:uid="{4E3370D8-0B5F-4EB8-9F26-6D02AAA799FA}" name="End Time" dataDxfId="15"/>
    <tableColumn id="4" xr3:uid="{84D65589-0D07-4EE6-8C60-499B138BE106}" name="Break Time" dataDxfId="14"/>
    <tableColumn id="5" xr3:uid="{36CCDDE9-380E-4495-B8A5-7EAC293248F5}" name="Duration" dataDxfId="13">
      <calculatedColumnFormula>(DayAndNightLogs[[#This Row],[End Time]]-DayAndNightLogs[[#This Row],[Start Time]])-DayAndNightLogs[[#This Row],[Break Time]]</calculatedColumnFormula>
    </tableColumn>
    <tableColumn id="6" xr3:uid="{CFFD9D0B-2FA4-4808-9969-C582940586FB}" name="Estimated Time" totalsRowFunction="count" dataDxfId="12"/>
    <tableColumn id="8" xr3:uid="{EA9B5B6B-FC27-4E8D-822A-C4D165263B2B}" name="Error %" totalsRowFunction="count" dataDxfId="11">
      <calculatedColumnFormula>SUM($F$3:F3)/SUM($G$3:G3)</calculatedColumnFormula>
    </tableColumn>
    <tableColumn id="9" xr3:uid="{B1CE12B8-D42A-4212-B78A-7D16D627E51C}" name="Adjusted Estimate" totalsRowFunction="count" dataDxfId="10">
      <calculatedColumnFormula>SUM(DayAndNightLogs[[#This Row],[Duration]]*DayAndNightLogs[[#This Row],[Error %]])</calculatedColumnFormula>
    </tableColumn>
    <tableColumn id="7" xr3:uid="{7446B9D5-FCC1-46C3-8C69-6392A104C526}" name="Discription" totalsRowFunction="count" dataDxfId="9"/>
  </tableColumns>
  <tableStyleInfo name="TableStyleMedium2" showFirstColumn="1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4E3566F-4F49-4B24-9D00-119919425B4F}" name="DayAndNightLogs4" displayName="DayAndNightLogs4" ref="B2:J21">
  <autoFilter ref="B2:J21" xr:uid="{0DFC59EA-44C1-4564-A803-323C68E79F21}"/>
  <tableColumns count="9">
    <tableColumn id="1" xr3:uid="{076F3871-D98F-465A-A8C8-47F48EDE2A9F}" name="Date" totalsRowLabel="Total" dataDxfId="8"/>
    <tableColumn id="2" xr3:uid="{AA614A2A-E920-49CC-87A9-8F03EC51D46F}" name="Start Time" dataDxfId="7"/>
    <tableColumn id="3" xr3:uid="{A07074DA-BDA0-4825-A1B8-D8DF4BECA54B}" name="End Time" dataDxfId="6"/>
    <tableColumn id="4" xr3:uid="{3A2FC05E-622D-4CA7-968B-A644C721737C}" name="Break Time" dataDxfId="5"/>
    <tableColumn id="5" xr3:uid="{15541501-4F10-483A-8272-C813D6FEF8EF}" name="Duration" dataDxfId="4">
      <calculatedColumnFormula>(DayAndNightLogs4[[#This Row],[End Time]]-DayAndNightLogs4[[#This Row],[Start Time]])-DayAndNightLogs4[[#This Row],[Break Time]]</calculatedColumnFormula>
    </tableColumn>
    <tableColumn id="6" xr3:uid="{7F5A3CF1-213E-4C2F-AA22-208DF2F30C87}" name="Estimated Time" totalsRowFunction="count" dataDxfId="3"/>
    <tableColumn id="8" xr3:uid="{9E3694AC-EE2F-46BF-B1D7-32B85393FADA}" name="Error %" totalsRowFunction="count" dataDxfId="2">
      <calculatedColumnFormula>SUM($F$3:F3)/SUM($G$3:G3)</calculatedColumnFormula>
    </tableColumn>
    <tableColumn id="9" xr3:uid="{8575B009-BFE3-40F3-B657-6182DD147A94}" name="Adjusted Estimate" totalsRowFunction="count" dataDxfId="1">
      <calculatedColumnFormula>SUM(DayAndNightLogs4[[#This Row],[Duration]]*DayAndNightLogs4[[#This Row],[Error %]])</calculatedColumnFormula>
    </tableColumn>
    <tableColumn id="7" xr3:uid="{A2F0B7C0-4CB4-412E-8451-EAD455B0F107}" name="Discription" totalsRowFunction="count" dataDxfId="0"/>
  </tableColumns>
  <tableStyleInfo name="TableStyleMedium2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58E70-DF2B-4BF2-BB55-E71B256EF283}">
  <sheetPr codeName="Sheet1">
    <tabColor theme="5"/>
  </sheetPr>
  <dimension ref="B2:J21"/>
  <sheetViews>
    <sheetView workbookViewId="0">
      <selection activeCell="E31" sqref="E31"/>
    </sheetView>
  </sheetViews>
  <sheetFormatPr defaultRowHeight="15" x14ac:dyDescent="0.25"/>
  <cols>
    <col min="2" max="2" width="11.42578125" customWidth="1"/>
    <col min="3" max="3" width="12.140625" customWidth="1"/>
    <col min="4" max="4" width="11.42578125" customWidth="1"/>
    <col min="5" max="5" width="13" customWidth="1"/>
    <col min="6" max="6" width="11" bestFit="1" customWidth="1"/>
    <col min="7" max="7" width="17.140625" customWidth="1"/>
    <col min="8" max="8" width="9.5703125" bestFit="1" customWidth="1"/>
    <col min="9" max="9" width="20" customWidth="1"/>
    <col min="10" max="10" width="57.140625" customWidth="1"/>
    <col min="11" max="11" width="9.140625" customWidth="1"/>
  </cols>
  <sheetData>
    <row r="2" spans="2:10" x14ac:dyDescent="0.25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6</v>
      </c>
      <c r="H2" t="s">
        <v>7</v>
      </c>
      <c r="I2" t="s">
        <v>8</v>
      </c>
      <c r="J2" t="s">
        <v>5</v>
      </c>
    </row>
    <row r="3" spans="2:10" ht="30" x14ac:dyDescent="0.25">
      <c r="B3" s="2">
        <v>44957</v>
      </c>
      <c r="C3" s="3">
        <v>0.47916666666666669</v>
      </c>
      <c r="D3" s="3">
        <v>0.66666666666666663</v>
      </c>
      <c r="E3" s="3">
        <v>4.1666666666666664E-2</v>
      </c>
      <c r="F3" s="3">
        <f>(CraftingSystemLogs[[#This Row],[End Time]]-CraftingSystemLogs[[#This Row],[Start Time]])-CraftingSystemLogs[[#This Row],[Break Time]]</f>
        <v>0.14583333333333329</v>
      </c>
      <c r="G3" s="3">
        <v>0.25</v>
      </c>
      <c r="H3" s="4">
        <f>SUM($F$3:F3)/SUM($G$3:G3)</f>
        <v>0.58333333333333315</v>
      </c>
      <c r="I3" s="3">
        <f>SUM(CraftingSystemLogs[[#This Row],[Duration]]*CraftingSystemLogs[[#This Row],[Error %]])</f>
        <v>8.5069444444444392E-2</v>
      </c>
      <c r="J3" s="5" t="s">
        <v>9</v>
      </c>
    </row>
    <row r="4" spans="2:10" ht="30" x14ac:dyDescent="0.25">
      <c r="B4" s="2">
        <v>44957</v>
      </c>
      <c r="C4" s="3">
        <v>0.77013888888888893</v>
      </c>
      <c r="D4" s="3">
        <v>0.9277777777777777</v>
      </c>
      <c r="E4" s="3">
        <v>1.3888888888888888E-2</v>
      </c>
      <c r="F4" s="3">
        <f>(CraftingSystemLogs[[#This Row],[End Time]]-CraftingSystemLogs[[#This Row],[Start Time]])-CraftingSystemLogs[[#This Row],[Break Time]]</f>
        <v>0.14374999999999988</v>
      </c>
      <c r="G4" s="3">
        <v>0.16666666666666666</v>
      </c>
      <c r="H4" s="4">
        <f>SUM($F$3:F4)/SUM($G$3:G4)</f>
        <v>0.69499999999999973</v>
      </c>
      <c r="I4" s="3">
        <f>SUM(CraftingSystemLogs[[#This Row],[Duration]]*CraftingSystemLogs[[#This Row],[Error %]])</f>
        <v>9.9906249999999877E-2</v>
      </c>
      <c r="J4" s="1" t="s">
        <v>10</v>
      </c>
    </row>
    <row r="5" spans="2:10" ht="30" x14ac:dyDescent="0.25">
      <c r="B5" s="2">
        <v>44963</v>
      </c>
      <c r="C5" s="3">
        <v>0.5625</v>
      </c>
      <c r="D5" s="3">
        <v>0.61527777777777781</v>
      </c>
      <c r="E5" s="3">
        <v>1.8749999999999999E-2</v>
      </c>
      <c r="F5" s="3">
        <f>(CraftingSystemLogs[[#This Row],[End Time]]-CraftingSystemLogs[[#This Row],[Start Time]])-CraftingSystemLogs[[#This Row],[Break Time]]</f>
        <v>3.402777777777781E-2</v>
      </c>
      <c r="G5" s="3">
        <v>8.3333333333333329E-2</v>
      </c>
      <c r="H5" s="4">
        <f>SUM($F$3:F5)/SUM($G$3:G5)</f>
        <v>0.64722222222222214</v>
      </c>
      <c r="I5" s="3">
        <f>SUM(CraftingSystemLogs[[#This Row],[Duration]]*CraftingSystemLogs[[#This Row],[Error %]])</f>
        <v>2.2023533950617302E-2</v>
      </c>
      <c r="J5" s="1" t="s">
        <v>11</v>
      </c>
    </row>
    <row r="6" spans="2:10" x14ac:dyDescent="0.25">
      <c r="B6" s="2"/>
      <c r="C6" s="3">
        <v>0</v>
      </c>
      <c r="D6" s="3">
        <v>0</v>
      </c>
      <c r="E6" s="3">
        <v>0</v>
      </c>
      <c r="F6" s="3">
        <f>(CraftingSystemLogs[[#This Row],[End Time]]-CraftingSystemLogs[[#This Row],[Start Time]])-CraftingSystemLogs[[#This Row],[Break Time]]</f>
        <v>0</v>
      </c>
      <c r="G6" s="3">
        <v>0</v>
      </c>
      <c r="H6" s="4">
        <f>SUM($F$3:F6)/SUM($G$3:G6)</f>
        <v>0.64722222222222214</v>
      </c>
      <c r="I6" s="3">
        <f>SUM(CraftingSystemLogs[[#This Row],[Duration]]*CraftingSystemLogs[[#This Row],[Error %]])</f>
        <v>0</v>
      </c>
      <c r="J6" s="1"/>
    </row>
    <row r="7" spans="2:10" x14ac:dyDescent="0.25">
      <c r="B7" s="2"/>
      <c r="C7" s="3">
        <v>0</v>
      </c>
      <c r="D7" s="3">
        <v>0</v>
      </c>
      <c r="E7" s="3">
        <v>0</v>
      </c>
      <c r="F7" s="3">
        <f>(CraftingSystemLogs[[#This Row],[End Time]]-CraftingSystemLogs[[#This Row],[Start Time]])-CraftingSystemLogs[[#This Row],[Break Time]]</f>
        <v>0</v>
      </c>
      <c r="G7" s="3">
        <v>0</v>
      </c>
      <c r="H7" s="4">
        <f>SUM($F$3:F7)/SUM($G$3:G7)</f>
        <v>0.64722222222222214</v>
      </c>
      <c r="I7" s="3">
        <f>SUM(CraftingSystemLogs[[#This Row],[Duration]]*CraftingSystemLogs[[#This Row],[Error %]])</f>
        <v>0</v>
      </c>
      <c r="J7" s="1"/>
    </row>
    <row r="8" spans="2:10" x14ac:dyDescent="0.25">
      <c r="B8" s="2"/>
      <c r="C8" s="3">
        <v>0</v>
      </c>
      <c r="D8" s="3">
        <v>0</v>
      </c>
      <c r="E8" s="3">
        <v>0</v>
      </c>
      <c r="F8" s="3">
        <f>(CraftingSystemLogs[[#This Row],[End Time]]-CraftingSystemLogs[[#This Row],[Start Time]])-CraftingSystemLogs[[#This Row],[Break Time]]</f>
        <v>0</v>
      </c>
      <c r="G8" s="3">
        <v>0</v>
      </c>
      <c r="H8" s="4">
        <f>SUM($F$3:F8)/SUM($G$3:G8)</f>
        <v>0.64722222222222214</v>
      </c>
      <c r="I8" s="3">
        <f>SUM(CraftingSystemLogs[[#This Row],[Duration]]*CraftingSystemLogs[[#This Row],[Error %]])</f>
        <v>0</v>
      </c>
      <c r="J8" s="1"/>
    </row>
    <row r="9" spans="2:10" x14ac:dyDescent="0.25">
      <c r="B9" s="2"/>
      <c r="C9" s="3">
        <v>0</v>
      </c>
      <c r="D9" s="3">
        <v>0</v>
      </c>
      <c r="E9" s="3">
        <v>0</v>
      </c>
      <c r="F9" s="3">
        <f>(CraftingSystemLogs[[#This Row],[End Time]]-CraftingSystemLogs[[#This Row],[Start Time]])-CraftingSystemLogs[[#This Row],[Break Time]]</f>
        <v>0</v>
      </c>
      <c r="G9" s="3">
        <v>0</v>
      </c>
      <c r="H9" s="4">
        <f>SUM($F$3:F9)/SUM($G$3:G9)</f>
        <v>0.64722222222222214</v>
      </c>
      <c r="I9" s="3">
        <f>SUM(CraftingSystemLogs[[#This Row],[Duration]]*CraftingSystemLogs[[#This Row],[Error %]])</f>
        <v>0</v>
      </c>
      <c r="J9" s="1"/>
    </row>
    <row r="10" spans="2:10" x14ac:dyDescent="0.25">
      <c r="B10" s="2"/>
      <c r="C10" s="3">
        <v>0</v>
      </c>
      <c r="D10" s="3">
        <v>0</v>
      </c>
      <c r="E10" s="3">
        <v>0</v>
      </c>
      <c r="F10" s="3">
        <f>(CraftingSystemLogs[[#This Row],[End Time]]-CraftingSystemLogs[[#This Row],[Start Time]])-CraftingSystemLogs[[#This Row],[Break Time]]</f>
        <v>0</v>
      </c>
      <c r="G10" s="3">
        <v>0</v>
      </c>
      <c r="H10" s="4">
        <f>SUM($F$3:F10)/SUM($G$3:G10)</f>
        <v>0.64722222222222214</v>
      </c>
      <c r="I10" s="3">
        <f>SUM(CraftingSystemLogs[[#This Row],[Duration]]*CraftingSystemLogs[[#This Row],[Error %]])</f>
        <v>0</v>
      </c>
      <c r="J10" s="1"/>
    </row>
    <row r="11" spans="2:10" x14ac:dyDescent="0.25">
      <c r="B11" s="2"/>
      <c r="C11" s="3">
        <v>0</v>
      </c>
      <c r="D11" s="3">
        <v>0</v>
      </c>
      <c r="E11" s="3">
        <v>0</v>
      </c>
      <c r="F11" s="3">
        <f>(CraftingSystemLogs[[#This Row],[End Time]]-CraftingSystemLogs[[#This Row],[Start Time]])-CraftingSystemLogs[[#This Row],[Break Time]]</f>
        <v>0</v>
      </c>
      <c r="G11" s="3">
        <v>0</v>
      </c>
      <c r="H11" s="4">
        <f>SUM($F$3:F11)/SUM($G$3:G11)</f>
        <v>0.64722222222222214</v>
      </c>
      <c r="I11" s="3">
        <f>SUM(CraftingSystemLogs[[#This Row],[Duration]]*CraftingSystemLogs[[#This Row],[Error %]])</f>
        <v>0</v>
      </c>
      <c r="J11" s="1"/>
    </row>
    <row r="12" spans="2:10" x14ac:dyDescent="0.25">
      <c r="B12" s="2"/>
      <c r="C12" s="3">
        <v>0</v>
      </c>
      <c r="D12" s="3">
        <v>0</v>
      </c>
      <c r="E12" s="3">
        <v>0</v>
      </c>
      <c r="F12" s="3">
        <f>(CraftingSystemLogs[[#This Row],[End Time]]-CraftingSystemLogs[[#This Row],[Start Time]])-CraftingSystemLogs[[#This Row],[Break Time]]</f>
        <v>0</v>
      </c>
      <c r="G12" s="3">
        <v>0</v>
      </c>
      <c r="H12" s="4">
        <f>SUM($F$3:F12)/SUM($G$3:G12)</f>
        <v>0.64722222222222214</v>
      </c>
      <c r="I12" s="3">
        <f>SUM(CraftingSystemLogs[[#This Row],[Duration]]*CraftingSystemLogs[[#This Row],[Error %]])</f>
        <v>0</v>
      </c>
      <c r="J12" s="1"/>
    </row>
    <row r="13" spans="2:10" x14ac:dyDescent="0.25">
      <c r="B13" s="2"/>
      <c r="C13" s="3">
        <v>0</v>
      </c>
      <c r="D13" s="3">
        <v>0</v>
      </c>
      <c r="E13" s="3">
        <v>0</v>
      </c>
      <c r="F13" s="3">
        <f>(CraftingSystemLogs[[#This Row],[End Time]]-CraftingSystemLogs[[#This Row],[Start Time]])-CraftingSystemLogs[[#This Row],[Break Time]]</f>
        <v>0</v>
      </c>
      <c r="G13" s="3">
        <v>0</v>
      </c>
      <c r="H13" s="4">
        <f>SUM($F$3:F13)/SUM($G$3:G13)</f>
        <v>0.64722222222222214</v>
      </c>
      <c r="I13" s="3">
        <f>SUM(CraftingSystemLogs[[#This Row],[Duration]]*CraftingSystemLogs[[#This Row],[Error %]])</f>
        <v>0</v>
      </c>
      <c r="J13" s="1"/>
    </row>
    <row r="14" spans="2:10" x14ac:dyDescent="0.25">
      <c r="B14" s="2"/>
      <c r="C14" s="3">
        <v>0</v>
      </c>
      <c r="D14" s="3">
        <v>0</v>
      </c>
      <c r="E14" s="3">
        <v>0</v>
      </c>
      <c r="F14" s="3">
        <f>(CraftingSystemLogs[[#This Row],[End Time]]-CraftingSystemLogs[[#This Row],[Start Time]])-CraftingSystemLogs[[#This Row],[Break Time]]</f>
        <v>0</v>
      </c>
      <c r="G14" s="3">
        <v>0</v>
      </c>
      <c r="H14" s="4">
        <f>SUM($F$3:F14)/SUM($G$3:G14)</f>
        <v>0.64722222222222214</v>
      </c>
      <c r="I14" s="3">
        <f>SUM(CraftingSystemLogs[[#This Row],[Duration]]*CraftingSystemLogs[[#This Row],[Error %]])</f>
        <v>0</v>
      </c>
      <c r="J14" s="1"/>
    </row>
    <row r="15" spans="2:10" x14ac:dyDescent="0.25">
      <c r="B15" s="2"/>
      <c r="C15" s="3">
        <v>0</v>
      </c>
      <c r="D15" s="3">
        <v>0</v>
      </c>
      <c r="E15" s="3">
        <v>0</v>
      </c>
      <c r="F15" s="3">
        <f>(CraftingSystemLogs[[#This Row],[End Time]]-CraftingSystemLogs[[#This Row],[Start Time]])-CraftingSystemLogs[[#This Row],[Break Time]]</f>
        <v>0</v>
      </c>
      <c r="G15" s="3">
        <v>0</v>
      </c>
      <c r="H15" s="4">
        <f>SUM($F$3:F15)/SUM($G$3:G15)</f>
        <v>0.64722222222222214</v>
      </c>
      <c r="I15" s="3">
        <f>SUM(CraftingSystemLogs[[#This Row],[Duration]]*CraftingSystemLogs[[#This Row],[Error %]])</f>
        <v>0</v>
      </c>
      <c r="J15" s="1"/>
    </row>
    <row r="16" spans="2:10" x14ac:dyDescent="0.25">
      <c r="B16" s="2"/>
      <c r="C16" s="3">
        <v>0</v>
      </c>
      <c r="D16" s="3">
        <v>0</v>
      </c>
      <c r="E16" s="3">
        <v>0</v>
      </c>
      <c r="F16" s="3">
        <f>(CraftingSystemLogs[[#This Row],[End Time]]-CraftingSystemLogs[[#This Row],[Start Time]])-CraftingSystemLogs[[#This Row],[Break Time]]</f>
        <v>0</v>
      </c>
      <c r="G16" s="3">
        <v>0</v>
      </c>
      <c r="H16" s="4">
        <f>SUM($F$3:F16)/SUM($G$3:G16)</f>
        <v>0.64722222222222214</v>
      </c>
      <c r="I16" s="3">
        <f>SUM(CraftingSystemLogs[[#This Row],[Duration]]*CraftingSystemLogs[[#This Row],[Error %]])</f>
        <v>0</v>
      </c>
      <c r="J16" s="1"/>
    </row>
    <row r="17" spans="2:10" x14ac:dyDescent="0.25">
      <c r="B17" s="2"/>
      <c r="C17" s="3">
        <v>0</v>
      </c>
      <c r="D17" s="3">
        <v>0</v>
      </c>
      <c r="E17" s="3">
        <v>0</v>
      </c>
      <c r="F17" s="3">
        <f>(CraftingSystemLogs[[#This Row],[End Time]]-CraftingSystemLogs[[#This Row],[Start Time]])-CraftingSystemLogs[[#This Row],[Break Time]]</f>
        <v>0</v>
      </c>
      <c r="G17" s="3">
        <v>0</v>
      </c>
      <c r="H17" s="4">
        <f>SUM($F$3:F17)/SUM($G$3:G17)</f>
        <v>0.64722222222222214</v>
      </c>
      <c r="I17" s="3">
        <f>SUM(CraftingSystemLogs[[#This Row],[Duration]]*CraftingSystemLogs[[#This Row],[Error %]])</f>
        <v>0</v>
      </c>
      <c r="J17" s="1"/>
    </row>
    <row r="18" spans="2:10" x14ac:dyDescent="0.25">
      <c r="B18" s="2"/>
      <c r="C18" s="3">
        <v>0</v>
      </c>
      <c r="D18" s="3">
        <v>0</v>
      </c>
      <c r="E18" s="3">
        <v>0</v>
      </c>
      <c r="F18" s="3">
        <f>(CraftingSystemLogs[[#This Row],[End Time]]-CraftingSystemLogs[[#This Row],[Start Time]])-CraftingSystemLogs[[#This Row],[Break Time]]</f>
        <v>0</v>
      </c>
      <c r="G18" s="3">
        <v>0</v>
      </c>
      <c r="H18" s="4">
        <f>SUM($F$3:F18)/SUM($G$3:G18)</f>
        <v>0.64722222222222214</v>
      </c>
      <c r="I18" s="3">
        <f>SUM(CraftingSystemLogs[[#This Row],[Duration]]*CraftingSystemLogs[[#This Row],[Error %]])</f>
        <v>0</v>
      </c>
      <c r="J18" s="1"/>
    </row>
    <row r="19" spans="2:10" x14ac:dyDescent="0.25">
      <c r="B19" s="2"/>
      <c r="C19" s="3">
        <v>0</v>
      </c>
      <c r="D19" s="3">
        <v>0</v>
      </c>
      <c r="E19" s="3">
        <v>0</v>
      </c>
      <c r="F19" s="3">
        <f>(CraftingSystemLogs[[#This Row],[End Time]]-CraftingSystemLogs[[#This Row],[Start Time]])-CraftingSystemLogs[[#This Row],[Break Time]]</f>
        <v>0</v>
      </c>
      <c r="G19" s="3">
        <v>0</v>
      </c>
      <c r="H19" s="4">
        <f>SUM($F$3:F19)/SUM($G$3:G19)</f>
        <v>0.64722222222222214</v>
      </c>
      <c r="I19" s="3">
        <f>SUM(CraftingSystemLogs[[#This Row],[Duration]]*CraftingSystemLogs[[#This Row],[Error %]])</f>
        <v>0</v>
      </c>
      <c r="J19" s="1"/>
    </row>
    <row r="20" spans="2:10" x14ac:dyDescent="0.25">
      <c r="B20" s="2"/>
      <c r="C20" s="3">
        <v>0</v>
      </c>
      <c r="D20" s="3">
        <v>0</v>
      </c>
      <c r="E20" s="3">
        <v>0</v>
      </c>
      <c r="F20" s="3">
        <f>(CraftingSystemLogs[[#This Row],[End Time]]-CraftingSystemLogs[[#This Row],[Start Time]])-CraftingSystemLogs[[#This Row],[Break Time]]</f>
        <v>0</v>
      </c>
      <c r="G20" s="3">
        <v>0</v>
      </c>
      <c r="H20" s="4">
        <f>SUM($F$3:F20)/SUM($G$3:G20)</f>
        <v>0.64722222222222214</v>
      </c>
      <c r="I20" s="3">
        <f>SUM(CraftingSystemLogs[[#This Row],[Duration]]*CraftingSystemLogs[[#This Row],[Error %]])</f>
        <v>0</v>
      </c>
      <c r="J20" s="1"/>
    </row>
    <row r="21" spans="2:10" x14ac:dyDescent="0.25">
      <c r="B21" s="2"/>
      <c r="C21" s="3">
        <v>0</v>
      </c>
      <c r="D21" s="3">
        <v>0</v>
      </c>
      <c r="E21" s="3">
        <v>0</v>
      </c>
      <c r="F21" s="3">
        <f>(CraftingSystemLogs[[#This Row],[End Time]]-CraftingSystemLogs[[#This Row],[Start Time]])-CraftingSystemLogs[[#This Row],[Break Time]]</f>
        <v>0</v>
      </c>
      <c r="G21" s="3">
        <v>0</v>
      </c>
      <c r="H21" s="4">
        <f>SUM($F$3:F21)/SUM($G$3:G21)</f>
        <v>0.64722222222222214</v>
      </c>
      <c r="I21" s="3">
        <f>SUM(CraftingSystemLogs[[#This Row],[Duration]]*CraftingSystemLogs[[#This Row],[Error %]])</f>
        <v>0</v>
      </c>
      <c r="J21" s="1"/>
    </row>
  </sheetData>
  <pageMargins left="0.7" right="0.7" top="0.75" bottom="0.75" header="0.3" footer="0.3"/>
  <pageSetup paperSize="9" orientation="portrait" verticalDpi="0" r:id="rId1"/>
  <ignoredErrors>
    <ignoredError sqref="H4 H5:H21" formulaRange="1"/>
  </ignoredErrors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9D0F0-F09F-4356-AB2F-21C271C4F9C2}">
  <sheetPr codeName="Sheet5">
    <tabColor theme="7"/>
  </sheetPr>
  <dimension ref="B2:J21"/>
  <sheetViews>
    <sheetView workbookViewId="0">
      <selection activeCell="E28" sqref="E28"/>
    </sheetView>
  </sheetViews>
  <sheetFormatPr defaultRowHeight="15" x14ac:dyDescent="0.25"/>
  <cols>
    <col min="2" max="2" width="11.42578125" customWidth="1"/>
    <col min="3" max="3" width="12.140625" customWidth="1"/>
    <col min="4" max="4" width="11.42578125" customWidth="1"/>
    <col min="5" max="5" width="13" customWidth="1"/>
    <col min="6" max="6" width="11" bestFit="1" customWidth="1"/>
    <col min="7" max="7" width="17.140625" customWidth="1"/>
    <col min="8" max="8" width="9.5703125" bestFit="1" customWidth="1"/>
    <col min="9" max="9" width="20" customWidth="1"/>
    <col min="10" max="10" width="57.140625" customWidth="1"/>
    <col min="11" max="11" width="9.140625" customWidth="1"/>
  </cols>
  <sheetData>
    <row r="2" spans="2:10" x14ac:dyDescent="0.25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6</v>
      </c>
      <c r="H2" t="s">
        <v>7</v>
      </c>
      <c r="I2" t="s">
        <v>8</v>
      </c>
      <c r="J2" t="s">
        <v>5</v>
      </c>
    </row>
    <row r="3" spans="2:10" x14ac:dyDescent="0.25">
      <c r="B3" s="2">
        <v>44964</v>
      </c>
      <c r="C3" s="3">
        <v>0.41666666666666669</v>
      </c>
      <c r="D3" s="3">
        <v>0.60416666666666663</v>
      </c>
      <c r="E3" s="3">
        <v>6.9444444444444441E-3</v>
      </c>
      <c r="F3" s="3">
        <f>(TerrainGenerationLogs[[#This Row],[End Time]]-TerrainGenerationLogs[[#This Row],[Start Time]])-TerrainGenerationLogs[[#This Row],[Break Time]]</f>
        <v>0.1805555555555555</v>
      </c>
      <c r="G3" s="3">
        <v>0.25</v>
      </c>
      <c r="H3" s="4">
        <f>SUM($F$3:F3)/SUM($G$3:G3)</f>
        <v>0.72222222222222199</v>
      </c>
      <c r="I3" s="3">
        <f>SUM(TerrainGenerationLogs[[#This Row],[Duration]]*TerrainGenerationLogs[[#This Row],[Error %]])</f>
        <v>0.13040123456790115</v>
      </c>
      <c r="J3" s="1" t="s">
        <v>12</v>
      </c>
    </row>
    <row r="4" spans="2:10" ht="45" x14ac:dyDescent="0.25">
      <c r="B4" s="2">
        <v>44970</v>
      </c>
      <c r="C4" s="3">
        <v>0.45833333333333331</v>
      </c>
      <c r="D4" s="3">
        <v>0.91666666666666663</v>
      </c>
      <c r="E4" s="3">
        <v>0.10416666666666667</v>
      </c>
      <c r="F4" s="3">
        <f>(TerrainGenerationLogs[[#This Row],[End Time]]-TerrainGenerationLogs[[#This Row],[Start Time]])-TerrainGenerationLogs[[#This Row],[Break Time]]</f>
        <v>0.35416666666666663</v>
      </c>
      <c r="G4" s="3">
        <v>0.33333333333333331</v>
      </c>
      <c r="H4" s="4">
        <f>SUM($F$3:F4)/SUM($G$3:G4)</f>
        <v>0.91666666666666652</v>
      </c>
      <c r="I4" s="3">
        <f>SUM(TerrainGenerationLogs[[#This Row],[Duration]]*TerrainGenerationLogs[[#This Row],[Error %]])</f>
        <v>0.32465277777777768</v>
      </c>
      <c r="J4" s="1" t="s">
        <v>13</v>
      </c>
    </row>
    <row r="5" spans="2:10" x14ac:dyDescent="0.25">
      <c r="B5" s="2">
        <v>44971</v>
      </c>
      <c r="C5" s="3">
        <v>0.4375</v>
      </c>
      <c r="D5" s="3">
        <v>0.52222222222222225</v>
      </c>
      <c r="E5" s="3">
        <v>2.0833333333333332E-2</v>
      </c>
      <c r="F5" s="3">
        <f>(TerrainGenerationLogs[[#This Row],[End Time]]-TerrainGenerationLogs[[#This Row],[Start Time]])-TerrainGenerationLogs[[#This Row],[Break Time]]</f>
        <v>6.3888888888888926E-2</v>
      </c>
      <c r="G5" s="3">
        <v>8.3333333333333329E-2</v>
      </c>
      <c r="H5" s="4">
        <f>SUM($F$3:F5)/SUM($G$3:G5)</f>
        <v>0.89791666666666647</v>
      </c>
      <c r="I5" s="3">
        <f>SUM(TerrainGenerationLogs[[#This Row],[Duration]]*TerrainGenerationLogs[[#This Row],[Error %]])</f>
        <v>5.7366898148148167E-2</v>
      </c>
      <c r="J5" s="1" t="s">
        <v>14</v>
      </c>
    </row>
    <row r="6" spans="2:10" ht="30" x14ac:dyDescent="0.25">
      <c r="B6" s="2">
        <v>44971</v>
      </c>
      <c r="C6" s="3">
        <v>0.66666666666666663</v>
      </c>
      <c r="D6" s="3">
        <v>0.77500000000000002</v>
      </c>
      <c r="E6" s="3">
        <v>1.3888888888888888E-2</v>
      </c>
      <c r="F6" s="3">
        <f>(TerrainGenerationLogs[[#This Row],[End Time]]-TerrainGenerationLogs[[#This Row],[Start Time]])-TerrainGenerationLogs[[#This Row],[Break Time]]</f>
        <v>9.4444444444444497E-2</v>
      </c>
      <c r="G6" s="3">
        <v>0.10416666666666667</v>
      </c>
      <c r="H6" s="4">
        <f>SUM($F$3:F6)/SUM($G$3:G6)</f>
        <v>0.89909909909909913</v>
      </c>
      <c r="I6" s="3">
        <f>SUM(TerrainGenerationLogs[[#This Row],[Duration]]*TerrainGenerationLogs[[#This Row],[Error %]])</f>
        <v>8.4914914914914971E-2</v>
      </c>
      <c r="J6" s="5" t="s">
        <v>15</v>
      </c>
    </row>
    <row r="7" spans="2:10" ht="30" x14ac:dyDescent="0.25">
      <c r="B7" s="2">
        <v>44974</v>
      </c>
      <c r="C7" s="3">
        <v>0.54166666666666663</v>
      </c>
      <c r="D7" s="3">
        <v>0.68888888888888899</v>
      </c>
      <c r="E7" s="3">
        <v>2.0833333333333332E-2</v>
      </c>
      <c r="F7" s="3">
        <f>(TerrainGenerationLogs[[#This Row],[End Time]]-TerrainGenerationLogs[[#This Row],[Start Time]])-TerrainGenerationLogs[[#This Row],[Break Time]]</f>
        <v>0.12638888888888902</v>
      </c>
      <c r="G7" s="3">
        <v>0.16666666666666666</v>
      </c>
      <c r="H7" s="4">
        <f>SUM($F$3:F7)/SUM($G$3:G7)</f>
        <v>0.87407407407407423</v>
      </c>
      <c r="I7" s="3">
        <f>SUM(TerrainGenerationLogs[[#This Row],[Duration]]*TerrainGenerationLogs[[#This Row],[Error %]])</f>
        <v>0.11047325102880672</v>
      </c>
      <c r="J7" s="1" t="s">
        <v>16</v>
      </c>
    </row>
    <row r="8" spans="2:10" x14ac:dyDescent="0.25">
      <c r="B8" s="2">
        <v>44976</v>
      </c>
      <c r="C8" s="3">
        <v>44976.791666666664</v>
      </c>
      <c r="D8" s="3">
        <v>44977.029861111114</v>
      </c>
      <c r="E8" s="3">
        <v>0</v>
      </c>
      <c r="F8" s="3">
        <f>(TerrainGenerationLogs[[#This Row],[End Time]]-TerrainGenerationLogs[[#This Row],[Start Time]])-TerrainGenerationLogs[[#This Row],[Break Time]]</f>
        <v>0.23819444444961846</v>
      </c>
      <c r="G8" s="3">
        <v>0.20833333333333334</v>
      </c>
      <c r="H8" s="4">
        <f>SUM($F$3:F8)/SUM($G$3:G8)</f>
        <v>0.92303030303481881</v>
      </c>
      <c r="I8" s="3">
        <f>SUM(TerrainGenerationLogs[[#This Row],[Duration]]*TerrainGenerationLogs[[#This Row],[Error %]])</f>
        <v>0.21986069024154165</v>
      </c>
      <c r="J8" s="1"/>
    </row>
    <row r="9" spans="2:10" ht="30" x14ac:dyDescent="0.25">
      <c r="B9" s="2">
        <v>44978</v>
      </c>
      <c r="C9" s="3">
        <v>0.4375</v>
      </c>
      <c r="D9" s="3">
        <v>0.66319444444444442</v>
      </c>
      <c r="E9" s="3">
        <v>2.0833333333333332E-2</v>
      </c>
      <c r="F9" s="3">
        <f>(TerrainGenerationLogs[[#This Row],[End Time]]-TerrainGenerationLogs[[#This Row],[Start Time]])-TerrainGenerationLogs[[#This Row],[Break Time]]</f>
        <v>0.20486111111111108</v>
      </c>
      <c r="G9" s="3">
        <v>0.16666666666666666</v>
      </c>
      <c r="H9" s="4">
        <f>SUM($F$3:F9)/SUM($G$3:G9)</f>
        <v>0.96190476190870422</v>
      </c>
      <c r="I9" s="3">
        <f>SUM(TerrainGenerationLogs[[#This Row],[Duration]]*TerrainGenerationLogs[[#This Row],[Error %]])</f>
        <v>0.1970568783076859</v>
      </c>
      <c r="J9" s="1" t="s">
        <v>17</v>
      </c>
    </row>
    <row r="10" spans="2:10" x14ac:dyDescent="0.25">
      <c r="B10" s="2">
        <v>44978</v>
      </c>
      <c r="C10" s="3">
        <v>0.79166666666666663</v>
      </c>
      <c r="D10" s="3">
        <v>0.92499999999999993</v>
      </c>
      <c r="E10" s="3">
        <v>2.0833333333333332E-2</v>
      </c>
      <c r="F10" s="3">
        <f>(TerrainGenerationLogs[[#This Row],[End Time]]-TerrainGenerationLogs[[#This Row],[Start Time]])-TerrainGenerationLogs[[#This Row],[Break Time]]</f>
        <v>0.11249999999999998</v>
      </c>
      <c r="G10" s="3">
        <v>0.14583333333333334</v>
      </c>
      <c r="H10" s="4">
        <f>SUM($F$3:F10)/SUM($G$3:G10)</f>
        <v>0.942857142860691</v>
      </c>
      <c r="I10" s="3">
        <f>SUM(TerrainGenerationLogs[[#This Row],[Duration]]*TerrainGenerationLogs[[#This Row],[Error %]])</f>
        <v>0.10607142857182772</v>
      </c>
      <c r="J10" s="1" t="s">
        <v>18</v>
      </c>
    </row>
    <row r="11" spans="2:10" x14ac:dyDescent="0.25">
      <c r="B11" s="2">
        <v>44979</v>
      </c>
      <c r="C11" s="3">
        <v>0.4375</v>
      </c>
      <c r="D11" s="3">
        <v>0.62986111111111109</v>
      </c>
      <c r="E11" s="3">
        <v>4.8611111111111112E-2</v>
      </c>
      <c r="F11" s="3">
        <f>(TerrainGenerationLogs[[#This Row],[End Time]]-TerrainGenerationLogs[[#This Row],[Start Time]])-TerrainGenerationLogs[[#This Row],[Break Time]]</f>
        <v>0.14374999999999999</v>
      </c>
      <c r="G11" s="3">
        <v>0.16666666666666666</v>
      </c>
      <c r="H11" s="4">
        <f>SUM($F$3:F11)/SUM($G$3:G11)</f>
        <v>0.93461538461856886</v>
      </c>
      <c r="I11" s="3">
        <f>SUM(TerrainGenerationLogs[[#This Row],[Duration]]*TerrainGenerationLogs[[#This Row],[Error %]])</f>
        <v>0.13435096153891926</v>
      </c>
      <c r="J11" s="1" t="s">
        <v>19</v>
      </c>
    </row>
    <row r="12" spans="2:10" x14ac:dyDescent="0.25">
      <c r="B12" s="2"/>
      <c r="C12" s="3"/>
      <c r="D12" s="3"/>
      <c r="E12" s="3">
        <v>0</v>
      </c>
      <c r="F12" s="3">
        <f>(TerrainGenerationLogs[[#This Row],[End Time]]-TerrainGenerationLogs[[#This Row],[Start Time]])-TerrainGenerationLogs[[#This Row],[Break Time]]</f>
        <v>0</v>
      </c>
      <c r="G12" s="3">
        <v>0</v>
      </c>
      <c r="H12" s="4">
        <f>SUM($F$3:F12)/SUM($G$3:G12)</f>
        <v>0.93461538461856886</v>
      </c>
      <c r="I12" s="3">
        <f>SUM(TerrainGenerationLogs[[#This Row],[Duration]]*TerrainGenerationLogs[[#This Row],[Error %]])</f>
        <v>0</v>
      </c>
      <c r="J12" s="1"/>
    </row>
    <row r="13" spans="2:10" x14ac:dyDescent="0.25">
      <c r="B13" s="2"/>
      <c r="C13" s="3"/>
      <c r="D13" s="3"/>
      <c r="E13" s="3">
        <v>0</v>
      </c>
      <c r="F13" s="3">
        <f>(TerrainGenerationLogs[[#This Row],[End Time]]-TerrainGenerationLogs[[#This Row],[Start Time]])-TerrainGenerationLogs[[#This Row],[Break Time]]</f>
        <v>0</v>
      </c>
      <c r="G13" s="3">
        <v>0</v>
      </c>
      <c r="H13" s="4">
        <f>SUM($F$3:F13)/SUM($G$3:G13)</f>
        <v>0.93461538461856886</v>
      </c>
      <c r="I13" s="3">
        <f>SUM(TerrainGenerationLogs[[#This Row],[Duration]]*TerrainGenerationLogs[[#This Row],[Error %]])</f>
        <v>0</v>
      </c>
      <c r="J13" s="1"/>
    </row>
    <row r="14" spans="2:10" x14ac:dyDescent="0.25">
      <c r="B14" s="2"/>
      <c r="C14" s="3"/>
      <c r="D14" s="3"/>
      <c r="E14" s="3">
        <v>0</v>
      </c>
      <c r="F14" s="3">
        <f>(TerrainGenerationLogs[[#This Row],[End Time]]-TerrainGenerationLogs[[#This Row],[Start Time]])-TerrainGenerationLogs[[#This Row],[Break Time]]</f>
        <v>0</v>
      </c>
      <c r="G14" s="3">
        <v>0</v>
      </c>
      <c r="H14" s="4">
        <f>SUM($F$3:F14)/SUM($G$3:G14)</f>
        <v>0.93461538461856886</v>
      </c>
      <c r="I14" s="3">
        <f>SUM(TerrainGenerationLogs[[#This Row],[Duration]]*TerrainGenerationLogs[[#This Row],[Error %]])</f>
        <v>0</v>
      </c>
      <c r="J14" s="1"/>
    </row>
    <row r="15" spans="2:10" x14ac:dyDescent="0.25">
      <c r="B15" s="2"/>
      <c r="C15" s="3"/>
      <c r="D15" s="3"/>
      <c r="E15" s="3">
        <v>0</v>
      </c>
      <c r="F15" s="3">
        <f>(TerrainGenerationLogs[[#This Row],[End Time]]-TerrainGenerationLogs[[#This Row],[Start Time]])-TerrainGenerationLogs[[#This Row],[Break Time]]</f>
        <v>0</v>
      </c>
      <c r="G15" s="3">
        <v>0</v>
      </c>
      <c r="H15" s="4">
        <f>SUM($F$3:F15)/SUM($G$3:G15)</f>
        <v>0.93461538461856886</v>
      </c>
      <c r="I15" s="3">
        <f>SUM(TerrainGenerationLogs[[#This Row],[Duration]]*TerrainGenerationLogs[[#This Row],[Error %]])</f>
        <v>0</v>
      </c>
      <c r="J15" s="1"/>
    </row>
    <row r="16" spans="2:10" x14ac:dyDescent="0.25">
      <c r="B16" s="2"/>
      <c r="C16" s="3"/>
      <c r="D16" s="3"/>
      <c r="E16" s="3">
        <v>0</v>
      </c>
      <c r="F16" s="3">
        <f>(TerrainGenerationLogs[[#This Row],[End Time]]-TerrainGenerationLogs[[#This Row],[Start Time]])-TerrainGenerationLogs[[#This Row],[Break Time]]</f>
        <v>0</v>
      </c>
      <c r="G16" s="3">
        <v>0</v>
      </c>
      <c r="H16" s="4">
        <f>SUM($F$3:F16)/SUM($G$3:G16)</f>
        <v>0.93461538461856886</v>
      </c>
      <c r="I16" s="3">
        <f>SUM(TerrainGenerationLogs[[#This Row],[Duration]]*TerrainGenerationLogs[[#This Row],[Error %]])</f>
        <v>0</v>
      </c>
      <c r="J16" s="1"/>
    </row>
    <row r="17" spans="2:10" x14ac:dyDescent="0.25">
      <c r="B17" s="2"/>
      <c r="C17" s="3"/>
      <c r="D17" s="3"/>
      <c r="E17" s="3">
        <v>0</v>
      </c>
      <c r="F17" s="3">
        <f>(TerrainGenerationLogs[[#This Row],[End Time]]-TerrainGenerationLogs[[#This Row],[Start Time]])-TerrainGenerationLogs[[#This Row],[Break Time]]</f>
        <v>0</v>
      </c>
      <c r="G17" s="3">
        <v>0</v>
      </c>
      <c r="H17" s="4">
        <f>SUM($F$3:F17)/SUM($G$3:G17)</f>
        <v>0.93461538461856886</v>
      </c>
      <c r="I17" s="3">
        <f>SUM(TerrainGenerationLogs[[#This Row],[Duration]]*TerrainGenerationLogs[[#This Row],[Error %]])</f>
        <v>0</v>
      </c>
      <c r="J17" s="1"/>
    </row>
    <row r="18" spans="2:10" x14ac:dyDescent="0.25">
      <c r="B18" s="2"/>
      <c r="C18" s="3"/>
      <c r="D18" s="3"/>
      <c r="E18" s="3">
        <v>0</v>
      </c>
      <c r="F18" s="3">
        <f>(TerrainGenerationLogs[[#This Row],[End Time]]-TerrainGenerationLogs[[#This Row],[Start Time]])-TerrainGenerationLogs[[#This Row],[Break Time]]</f>
        <v>0</v>
      </c>
      <c r="G18" s="3">
        <v>0</v>
      </c>
      <c r="H18" s="4">
        <f>SUM($F$3:F18)/SUM($G$3:G18)</f>
        <v>0.93461538461856886</v>
      </c>
      <c r="I18" s="3">
        <f>SUM(TerrainGenerationLogs[[#This Row],[Duration]]*TerrainGenerationLogs[[#This Row],[Error %]])</f>
        <v>0</v>
      </c>
      <c r="J18" s="1"/>
    </row>
    <row r="19" spans="2:10" x14ac:dyDescent="0.25">
      <c r="B19" s="2"/>
      <c r="C19" s="3"/>
      <c r="D19" s="3"/>
      <c r="E19" s="3">
        <v>0</v>
      </c>
      <c r="F19" s="3">
        <f>(TerrainGenerationLogs[[#This Row],[End Time]]-TerrainGenerationLogs[[#This Row],[Start Time]])-TerrainGenerationLogs[[#This Row],[Break Time]]</f>
        <v>0</v>
      </c>
      <c r="G19" s="3">
        <v>0</v>
      </c>
      <c r="H19" s="4">
        <f>SUM($F$3:F19)/SUM($G$3:G19)</f>
        <v>0.93461538461856886</v>
      </c>
      <c r="I19" s="3">
        <f>SUM(TerrainGenerationLogs[[#This Row],[Duration]]*TerrainGenerationLogs[[#This Row],[Error %]])</f>
        <v>0</v>
      </c>
      <c r="J19" s="1"/>
    </row>
    <row r="20" spans="2:10" x14ac:dyDescent="0.25">
      <c r="B20" s="2"/>
      <c r="C20" s="3"/>
      <c r="D20" s="3"/>
      <c r="E20" s="3">
        <v>0</v>
      </c>
      <c r="F20" s="3">
        <f>(TerrainGenerationLogs[[#This Row],[End Time]]-TerrainGenerationLogs[[#This Row],[Start Time]])-TerrainGenerationLogs[[#This Row],[Break Time]]</f>
        <v>0</v>
      </c>
      <c r="G20" s="3">
        <v>0</v>
      </c>
      <c r="H20" s="4">
        <f>SUM($F$3:F20)/SUM($G$3:G20)</f>
        <v>0.93461538461856886</v>
      </c>
      <c r="I20" s="3">
        <f>SUM(TerrainGenerationLogs[[#This Row],[Duration]]*TerrainGenerationLogs[[#This Row],[Error %]])</f>
        <v>0</v>
      </c>
      <c r="J20" s="1"/>
    </row>
    <row r="21" spans="2:10" x14ac:dyDescent="0.25">
      <c r="B21" s="2"/>
      <c r="C21" s="3"/>
      <c r="D21" s="3"/>
      <c r="E21" s="3">
        <v>0</v>
      </c>
      <c r="F21" s="3">
        <f>(TerrainGenerationLogs[[#This Row],[End Time]]-TerrainGenerationLogs[[#This Row],[Start Time]])-TerrainGenerationLogs[[#This Row],[Break Time]]</f>
        <v>0</v>
      </c>
      <c r="G21" s="3">
        <v>0</v>
      </c>
      <c r="H21" s="4">
        <f>SUM($F$3:F21)/SUM($G$3:G21)</f>
        <v>0.93461538461856886</v>
      </c>
      <c r="I21" s="3">
        <f>SUM(TerrainGenerationLogs[[#This Row],[Duration]]*TerrainGenerationLogs[[#This Row],[Error %]])</f>
        <v>0</v>
      </c>
      <c r="J21" s="1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91610-6C67-4EA1-9E62-66FE8BAFD07B}">
  <sheetPr codeName="Sheet6">
    <tabColor theme="2" tint="-0.749992370372631"/>
  </sheetPr>
  <dimension ref="B2:J21"/>
  <sheetViews>
    <sheetView tabSelected="1" workbookViewId="0">
      <selection activeCell="M7" sqref="M7"/>
    </sheetView>
  </sheetViews>
  <sheetFormatPr defaultRowHeight="15" x14ac:dyDescent="0.25"/>
  <cols>
    <col min="2" max="2" width="11.42578125" customWidth="1"/>
    <col min="3" max="3" width="12.140625" customWidth="1"/>
    <col min="4" max="4" width="11.42578125" customWidth="1"/>
    <col min="5" max="5" width="13" customWidth="1"/>
    <col min="6" max="6" width="11" bestFit="1" customWidth="1"/>
    <col min="7" max="7" width="17.140625" customWidth="1"/>
    <col min="8" max="8" width="9.5703125" bestFit="1" customWidth="1"/>
    <col min="9" max="9" width="20" customWidth="1"/>
    <col min="10" max="10" width="57.140625" customWidth="1"/>
    <col min="11" max="11" width="9.140625" customWidth="1"/>
  </cols>
  <sheetData>
    <row r="2" spans="2:10" x14ac:dyDescent="0.25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6</v>
      </c>
      <c r="H2" t="s">
        <v>7</v>
      </c>
      <c r="I2" t="s">
        <v>8</v>
      </c>
      <c r="J2" t="s">
        <v>5</v>
      </c>
    </row>
    <row r="3" spans="2:10" ht="30" x14ac:dyDescent="0.25">
      <c r="B3" s="2">
        <v>44992</v>
      </c>
      <c r="C3" s="3">
        <v>0.4375</v>
      </c>
      <c r="D3" s="3">
        <v>0.58333333333333337</v>
      </c>
      <c r="E3" s="3">
        <v>2.7777777777777776E-2</v>
      </c>
      <c r="F3" s="3">
        <f>(DayAndNightLogs[[#This Row],[End Time]]-DayAndNightLogs[[#This Row],[Start Time]])-DayAndNightLogs[[#This Row],[Break Time]]</f>
        <v>0.11805555555555559</v>
      </c>
      <c r="G3" s="3">
        <v>0.125</v>
      </c>
      <c r="H3" s="4">
        <f>SUM($F$3:F3)/SUM($G$3:G3)</f>
        <v>0.94444444444444475</v>
      </c>
      <c r="I3" s="3">
        <f>SUM(DayAndNightLogs[[#This Row],[Duration]]*DayAndNightLogs[[#This Row],[Error %]])</f>
        <v>0.11149691358024699</v>
      </c>
      <c r="J3" s="1" t="s">
        <v>20</v>
      </c>
    </row>
    <row r="4" spans="2:10" x14ac:dyDescent="0.25">
      <c r="B4" s="2">
        <v>44992</v>
      </c>
      <c r="C4" s="3">
        <v>0.8125</v>
      </c>
      <c r="D4" s="3">
        <v>0.85972222222222217</v>
      </c>
      <c r="E4" s="3">
        <v>0</v>
      </c>
      <c r="F4" s="3">
        <f>(DayAndNightLogs[[#This Row],[End Time]]-DayAndNightLogs[[#This Row],[Start Time]])-DayAndNightLogs[[#This Row],[Break Time]]</f>
        <v>4.7222222222222165E-2</v>
      </c>
      <c r="G4" s="3">
        <v>6.25E-2</v>
      </c>
      <c r="H4" s="4">
        <f>SUM($F$3:F4)/SUM($G$3:G4)</f>
        <v>0.88148148148148131</v>
      </c>
      <c r="I4" s="3">
        <f>SUM(DayAndNightLogs[[#This Row],[Duration]]*DayAndNightLogs[[#This Row],[Error %]])</f>
        <v>4.1625514403292124E-2</v>
      </c>
      <c r="J4" s="1" t="s">
        <v>21</v>
      </c>
    </row>
    <row r="5" spans="2:10" ht="45" x14ac:dyDescent="0.25">
      <c r="B5" s="2">
        <v>45006</v>
      </c>
      <c r="C5" s="3">
        <v>0.4375</v>
      </c>
      <c r="D5" s="3">
        <v>0.45833333333333331</v>
      </c>
      <c r="E5" s="3">
        <v>0</v>
      </c>
      <c r="F5" s="3">
        <f>(DayAndNightLogs[[#This Row],[End Time]]-DayAndNightLogs[[#This Row],[Start Time]])-DayAndNightLogs[[#This Row],[Break Time]]</f>
        <v>2.0833333333333315E-2</v>
      </c>
      <c r="G5" s="3">
        <v>2.0833333333333332E-2</v>
      </c>
      <c r="H5" s="4">
        <f>SUM($F$3:F5)/SUM($G$3:G5)</f>
        <v>0.89333333333333309</v>
      </c>
      <c r="I5" s="3">
        <f>SUM(DayAndNightLogs[[#This Row],[Duration]]*DayAndNightLogs[[#This Row],[Error %]])</f>
        <v>1.8611111111111089E-2</v>
      </c>
      <c r="J5" s="1" t="s">
        <v>25</v>
      </c>
    </row>
    <row r="6" spans="2:10" x14ac:dyDescent="0.25">
      <c r="B6" s="2"/>
      <c r="C6" s="3"/>
      <c r="D6" s="3"/>
      <c r="E6" s="3">
        <v>0</v>
      </c>
      <c r="F6" s="3">
        <f>(DayAndNightLogs[[#This Row],[End Time]]-DayAndNightLogs[[#This Row],[Start Time]])-DayAndNightLogs[[#This Row],[Break Time]]</f>
        <v>0</v>
      </c>
      <c r="G6" s="3">
        <v>0</v>
      </c>
      <c r="H6" s="4">
        <f>SUM($F$3:F6)/SUM($G$3:G6)</f>
        <v>0.89333333333333309</v>
      </c>
      <c r="I6" s="3">
        <f>SUM(DayAndNightLogs[[#This Row],[Duration]]*DayAndNightLogs[[#This Row],[Error %]])</f>
        <v>0</v>
      </c>
      <c r="J6" s="5"/>
    </row>
    <row r="7" spans="2:10" x14ac:dyDescent="0.25">
      <c r="B7" s="2"/>
      <c r="C7" s="3"/>
      <c r="D7" s="3"/>
      <c r="E7" s="3">
        <v>0</v>
      </c>
      <c r="F7" s="3">
        <f>(DayAndNightLogs[[#This Row],[End Time]]-DayAndNightLogs[[#This Row],[Start Time]])-DayAndNightLogs[[#This Row],[Break Time]]</f>
        <v>0</v>
      </c>
      <c r="G7" s="3">
        <v>0</v>
      </c>
      <c r="H7" s="4">
        <f>SUM($F$3:F7)/SUM($G$3:G7)</f>
        <v>0.89333333333333309</v>
      </c>
      <c r="I7" s="3">
        <f>SUM(DayAndNightLogs[[#This Row],[Duration]]*DayAndNightLogs[[#This Row],[Error %]])</f>
        <v>0</v>
      </c>
      <c r="J7" s="1"/>
    </row>
    <row r="8" spans="2:10" x14ac:dyDescent="0.25">
      <c r="B8" s="2"/>
      <c r="C8" s="3"/>
      <c r="D8" s="3"/>
      <c r="E8" s="3">
        <v>0</v>
      </c>
      <c r="F8" s="3">
        <f>(DayAndNightLogs[[#This Row],[End Time]]-DayAndNightLogs[[#This Row],[Start Time]])-DayAndNightLogs[[#This Row],[Break Time]]</f>
        <v>0</v>
      </c>
      <c r="G8" s="3">
        <v>0</v>
      </c>
      <c r="H8" s="4">
        <f>SUM($F$3:F8)/SUM($G$3:G8)</f>
        <v>0.89333333333333309</v>
      </c>
      <c r="I8" s="3">
        <f>SUM(DayAndNightLogs[[#This Row],[Duration]]*DayAndNightLogs[[#This Row],[Error %]])</f>
        <v>0</v>
      </c>
      <c r="J8" s="1"/>
    </row>
    <row r="9" spans="2:10" x14ac:dyDescent="0.25">
      <c r="B9" s="2"/>
      <c r="C9" s="3"/>
      <c r="D9" s="3"/>
      <c r="E9" s="3">
        <v>0</v>
      </c>
      <c r="F9" s="3">
        <f>(DayAndNightLogs[[#This Row],[End Time]]-DayAndNightLogs[[#This Row],[Start Time]])-DayAndNightLogs[[#This Row],[Break Time]]</f>
        <v>0</v>
      </c>
      <c r="G9" s="3">
        <v>0</v>
      </c>
      <c r="H9" s="4">
        <f>SUM($F$3:F9)/SUM($G$3:G9)</f>
        <v>0.89333333333333309</v>
      </c>
      <c r="I9" s="3">
        <f>SUM(DayAndNightLogs[[#This Row],[Duration]]*DayAndNightLogs[[#This Row],[Error %]])</f>
        <v>0</v>
      </c>
      <c r="J9" s="1"/>
    </row>
    <row r="10" spans="2:10" x14ac:dyDescent="0.25">
      <c r="B10" s="2"/>
      <c r="C10" s="3"/>
      <c r="D10" s="3"/>
      <c r="E10" s="3">
        <v>0</v>
      </c>
      <c r="F10" s="3">
        <f>(DayAndNightLogs[[#This Row],[End Time]]-DayAndNightLogs[[#This Row],[Start Time]])-DayAndNightLogs[[#This Row],[Break Time]]</f>
        <v>0</v>
      </c>
      <c r="G10" s="3">
        <v>0</v>
      </c>
      <c r="H10" s="4">
        <f>SUM($F$3:F10)/SUM($G$3:G10)</f>
        <v>0.89333333333333309</v>
      </c>
      <c r="I10" s="3">
        <f>SUM(DayAndNightLogs[[#This Row],[Duration]]*DayAndNightLogs[[#This Row],[Error %]])</f>
        <v>0</v>
      </c>
      <c r="J10" s="1"/>
    </row>
    <row r="11" spans="2:10" x14ac:dyDescent="0.25">
      <c r="B11" s="2"/>
      <c r="C11" s="3"/>
      <c r="D11" s="3"/>
      <c r="E11" s="3">
        <v>0</v>
      </c>
      <c r="F11" s="3">
        <f>(DayAndNightLogs[[#This Row],[End Time]]-DayAndNightLogs[[#This Row],[Start Time]])-DayAndNightLogs[[#This Row],[Break Time]]</f>
        <v>0</v>
      </c>
      <c r="G11" s="3">
        <v>0</v>
      </c>
      <c r="H11" s="4">
        <f>SUM($F$3:F11)/SUM($G$3:G11)</f>
        <v>0.89333333333333309</v>
      </c>
      <c r="I11" s="3">
        <f>SUM(DayAndNightLogs[[#This Row],[Duration]]*DayAndNightLogs[[#This Row],[Error %]])</f>
        <v>0</v>
      </c>
      <c r="J11" s="1"/>
    </row>
    <row r="12" spans="2:10" x14ac:dyDescent="0.25">
      <c r="B12" s="2"/>
      <c r="C12" s="3"/>
      <c r="D12" s="3"/>
      <c r="E12" s="3">
        <v>0</v>
      </c>
      <c r="F12" s="3">
        <f>(DayAndNightLogs[[#This Row],[End Time]]-DayAndNightLogs[[#This Row],[Start Time]])-DayAndNightLogs[[#This Row],[Break Time]]</f>
        <v>0</v>
      </c>
      <c r="G12" s="3">
        <v>0</v>
      </c>
      <c r="H12" s="4">
        <f>SUM($F$3:F12)/SUM($G$3:G12)</f>
        <v>0.89333333333333309</v>
      </c>
      <c r="I12" s="3">
        <f>SUM(DayAndNightLogs[[#This Row],[Duration]]*DayAndNightLogs[[#This Row],[Error %]])</f>
        <v>0</v>
      </c>
      <c r="J12" s="1"/>
    </row>
    <row r="13" spans="2:10" x14ac:dyDescent="0.25">
      <c r="B13" s="2"/>
      <c r="C13" s="3"/>
      <c r="D13" s="3"/>
      <c r="E13" s="3">
        <v>0</v>
      </c>
      <c r="F13" s="3">
        <f>(DayAndNightLogs[[#This Row],[End Time]]-DayAndNightLogs[[#This Row],[Start Time]])-DayAndNightLogs[[#This Row],[Break Time]]</f>
        <v>0</v>
      </c>
      <c r="G13" s="3">
        <v>0</v>
      </c>
      <c r="H13" s="4">
        <f>SUM($F$3:F13)/SUM($G$3:G13)</f>
        <v>0.89333333333333309</v>
      </c>
      <c r="I13" s="3">
        <f>SUM(DayAndNightLogs[[#This Row],[Duration]]*DayAndNightLogs[[#This Row],[Error %]])</f>
        <v>0</v>
      </c>
      <c r="J13" s="1"/>
    </row>
    <row r="14" spans="2:10" x14ac:dyDescent="0.25">
      <c r="B14" s="2"/>
      <c r="C14" s="3"/>
      <c r="D14" s="3"/>
      <c r="E14" s="3">
        <v>0</v>
      </c>
      <c r="F14" s="3">
        <f>(DayAndNightLogs[[#This Row],[End Time]]-DayAndNightLogs[[#This Row],[Start Time]])-DayAndNightLogs[[#This Row],[Break Time]]</f>
        <v>0</v>
      </c>
      <c r="G14" s="3">
        <v>0</v>
      </c>
      <c r="H14" s="4">
        <f>SUM($F$3:F14)/SUM($G$3:G14)</f>
        <v>0.89333333333333309</v>
      </c>
      <c r="I14" s="3">
        <f>SUM(DayAndNightLogs[[#This Row],[Duration]]*DayAndNightLogs[[#This Row],[Error %]])</f>
        <v>0</v>
      </c>
      <c r="J14" s="1"/>
    </row>
    <row r="15" spans="2:10" x14ac:dyDescent="0.25">
      <c r="B15" s="2"/>
      <c r="C15" s="3"/>
      <c r="D15" s="3"/>
      <c r="E15" s="3">
        <v>0</v>
      </c>
      <c r="F15" s="3">
        <f>(DayAndNightLogs[[#This Row],[End Time]]-DayAndNightLogs[[#This Row],[Start Time]])-DayAndNightLogs[[#This Row],[Break Time]]</f>
        <v>0</v>
      </c>
      <c r="G15" s="3">
        <v>0</v>
      </c>
      <c r="H15" s="4">
        <f>SUM($F$3:F15)/SUM($G$3:G15)</f>
        <v>0.89333333333333309</v>
      </c>
      <c r="I15" s="3">
        <f>SUM(DayAndNightLogs[[#This Row],[Duration]]*DayAndNightLogs[[#This Row],[Error %]])</f>
        <v>0</v>
      </c>
      <c r="J15" s="1"/>
    </row>
    <row r="16" spans="2:10" x14ac:dyDescent="0.25">
      <c r="B16" s="2"/>
      <c r="C16" s="3"/>
      <c r="D16" s="3"/>
      <c r="E16" s="3">
        <v>0</v>
      </c>
      <c r="F16" s="3">
        <f>(DayAndNightLogs[[#This Row],[End Time]]-DayAndNightLogs[[#This Row],[Start Time]])-DayAndNightLogs[[#This Row],[Break Time]]</f>
        <v>0</v>
      </c>
      <c r="G16" s="3">
        <v>0</v>
      </c>
      <c r="H16" s="4">
        <f>SUM($F$3:F16)/SUM($G$3:G16)</f>
        <v>0.89333333333333309</v>
      </c>
      <c r="I16" s="3">
        <f>SUM(DayAndNightLogs[[#This Row],[Duration]]*DayAndNightLogs[[#This Row],[Error %]])</f>
        <v>0</v>
      </c>
      <c r="J16" s="1"/>
    </row>
    <row r="17" spans="2:10" x14ac:dyDescent="0.25">
      <c r="B17" s="2"/>
      <c r="C17" s="3"/>
      <c r="D17" s="3"/>
      <c r="E17" s="3">
        <v>0</v>
      </c>
      <c r="F17" s="3">
        <f>(DayAndNightLogs[[#This Row],[End Time]]-DayAndNightLogs[[#This Row],[Start Time]])-DayAndNightLogs[[#This Row],[Break Time]]</f>
        <v>0</v>
      </c>
      <c r="G17" s="3">
        <v>0</v>
      </c>
      <c r="H17" s="4">
        <f>SUM($F$3:F17)/SUM($G$3:G17)</f>
        <v>0.89333333333333309</v>
      </c>
      <c r="I17" s="3">
        <f>SUM(DayAndNightLogs[[#This Row],[Duration]]*DayAndNightLogs[[#This Row],[Error %]])</f>
        <v>0</v>
      </c>
      <c r="J17" s="1"/>
    </row>
    <row r="18" spans="2:10" x14ac:dyDescent="0.25">
      <c r="B18" s="2"/>
      <c r="C18" s="3"/>
      <c r="D18" s="3"/>
      <c r="E18" s="3">
        <v>0</v>
      </c>
      <c r="F18" s="3">
        <f>(DayAndNightLogs[[#This Row],[End Time]]-DayAndNightLogs[[#This Row],[Start Time]])-DayAndNightLogs[[#This Row],[Break Time]]</f>
        <v>0</v>
      </c>
      <c r="G18" s="3">
        <v>0</v>
      </c>
      <c r="H18" s="4">
        <f>SUM($F$3:F18)/SUM($G$3:G18)</f>
        <v>0.89333333333333309</v>
      </c>
      <c r="I18" s="3">
        <f>SUM(DayAndNightLogs[[#This Row],[Duration]]*DayAndNightLogs[[#This Row],[Error %]])</f>
        <v>0</v>
      </c>
      <c r="J18" s="1"/>
    </row>
    <row r="19" spans="2:10" x14ac:dyDescent="0.25">
      <c r="B19" s="2"/>
      <c r="C19" s="3"/>
      <c r="D19" s="3"/>
      <c r="E19" s="3">
        <v>0</v>
      </c>
      <c r="F19" s="3">
        <f>(DayAndNightLogs[[#This Row],[End Time]]-DayAndNightLogs[[#This Row],[Start Time]])-DayAndNightLogs[[#This Row],[Break Time]]</f>
        <v>0</v>
      </c>
      <c r="G19" s="3">
        <v>0</v>
      </c>
      <c r="H19" s="4">
        <f>SUM($F$3:F19)/SUM($G$3:G19)</f>
        <v>0.89333333333333309</v>
      </c>
      <c r="I19" s="3">
        <f>SUM(DayAndNightLogs[[#This Row],[Duration]]*DayAndNightLogs[[#This Row],[Error %]])</f>
        <v>0</v>
      </c>
      <c r="J19" s="1"/>
    </row>
    <row r="20" spans="2:10" x14ac:dyDescent="0.25">
      <c r="B20" s="2"/>
      <c r="C20" s="3"/>
      <c r="D20" s="3"/>
      <c r="E20" s="3">
        <v>0</v>
      </c>
      <c r="F20" s="3">
        <f>(DayAndNightLogs[[#This Row],[End Time]]-DayAndNightLogs[[#This Row],[Start Time]])-DayAndNightLogs[[#This Row],[Break Time]]</f>
        <v>0</v>
      </c>
      <c r="G20" s="3">
        <v>0</v>
      </c>
      <c r="H20" s="4">
        <f>SUM($F$3:F20)/SUM($G$3:G20)</f>
        <v>0.89333333333333309</v>
      </c>
      <c r="I20" s="3">
        <f>SUM(DayAndNightLogs[[#This Row],[Duration]]*DayAndNightLogs[[#This Row],[Error %]])</f>
        <v>0</v>
      </c>
      <c r="J20" s="1"/>
    </row>
    <row r="21" spans="2:10" x14ac:dyDescent="0.25">
      <c r="B21" s="2"/>
      <c r="C21" s="3"/>
      <c r="D21" s="3"/>
      <c r="E21" s="3">
        <v>0</v>
      </c>
      <c r="F21" s="3">
        <f>(DayAndNightLogs[[#This Row],[End Time]]-DayAndNightLogs[[#This Row],[Start Time]])-DayAndNightLogs[[#This Row],[Break Time]]</f>
        <v>0</v>
      </c>
      <c r="G21" s="3">
        <v>0</v>
      </c>
      <c r="H21" s="4">
        <f>SUM($F$3:F21)/SUM($G$3:G21)</f>
        <v>0.89333333333333309</v>
      </c>
      <c r="I21" s="3">
        <f>SUM(DayAndNightLogs[[#This Row],[Duration]]*DayAndNightLogs[[#This Row],[Error %]])</f>
        <v>0</v>
      </c>
      <c r="J21" s="1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11DA5-90AB-4000-8A2C-DFEF7E879EE4}">
  <sheetPr codeName="Sheet7">
    <tabColor theme="2" tint="-0.749992370372631"/>
  </sheetPr>
  <dimension ref="B2:J21"/>
  <sheetViews>
    <sheetView workbookViewId="0">
      <selection activeCell="G32" sqref="G32"/>
    </sheetView>
  </sheetViews>
  <sheetFormatPr defaultRowHeight="15" x14ac:dyDescent="0.25"/>
  <cols>
    <col min="2" max="2" width="11.42578125" customWidth="1"/>
    <col min="3" max="3" width="12.140625" customWidth="1"/>
    <col min="4" max="4" width="11.42578125" customWidth="1"/>
    <col min="5" max="5" width="13" customWidth="1"/>
    <col min="6" max="6" width="11" bestFit="1" customWidth="1"/>
    <col min="7" max="7" width="17.140625" customWidth="1"/>
    <col min="8" max="8" width="12.140625" bestFit="1" customWidth="1"/>
    <col min="9" max="9" width="20" customWidth="1"/>
    <col min="10" max="10" width="57.140625" customWidth="1"/>
    <col min="11" max="11" width="9.140625" customWidth="1"/>
  </cols>
  <sheetData>
    <row r="2" spans="2:10" x14ac:dyDescent="0.25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6</v>
      </c>
      <c r="H2" t="s">
        <v>7</v>
      </c>
      <c r="I2" t="s">
        <v>8</v>
      </c>
      <c r="J2" t="s">
        <v>5</v>
      </c>
    </row>
    <row r="3" spans="2:10" x14ac:dyDescent="0.25">
      <c r="B3" s="2">
        <v>45006</v>
      </c>
      <c r="C3" s="3">
        <v>0.45833333333333331</v>
      </c>
      <c r="D3" s="3">
        <v>0.7270833333333333</v>
      </c>
      <c r="E3" s="3">
        <v>2.0833333333333332E-2</v>
      </c>
      <c r="F3" s="3">
        <f>(DayAndNightLogs4[[#This Row],[End Time]]-DayAndNightLogs4[[#This Row],[Start Time]])-DayAndNightLogs4[[#This Row],[Break Time]]</f>
        <v>0.24791666666666665</v>
      </c>
      <c r="G3" s="3">
        <v>0.25</v>
      </c>
      <c r="H3" s="4">
        <f>SUM($F$3:F3)/SUM($G$3:G3)</f>
        <v>0.99166666666666659</v>
      </c>
      <c r="I3" s="3">
        <f>SUM(DayAndNightLogs4[[#This Row],[Duration]]*DayAndNightLogs4[[#This Row],[Error %]])</f>
        <v>0.24585069444444441</v>
      </c>
      <c r="J3" s="1" t="s">
        <v>24</v>
      </c>
    </row>
    <row r="4" spans="2:10" x14ac:dyDescent="0.25">
      <c r="B4" s="2">
        <v>45006</v>
      </c>
      <c r="C4" s="3">
        <v>0.84722222222222221</v>
      </c>
      <c r="D4" s="3">
        <v>0.93680555555555556</v>
      </c>
      <c r="E4" s="3">
        <v>0</v>
      </c>
      <c r="F4" s="3">
        <f>(DayAndNightLogs4[[#This Row],[End Time]]-DayAndNightLogs4[[#This Row],[Start Time]])-DayAndNightLogs4[[#This Row],[Break Time]]</f>
        <v>8.9583333333333348E-2</v>
      </c>
      <c r="G4" s="3">
        <v>0.16666666666666666</v>
      </c>
      <c r="H4" s="4">
        <f>SUM($F$3:F4)/SUM($G$3:G4)</f>
        <v>0.81000000000000016</v>
      </c>
      <c r="I4" s="3">
        <f>SUM(DayAndNightLogs4[[#This Row],[Duration]]*DayAndNightLogs4[[#This Row],[Error %]])</f>
        <v>7.256250000000003E-2</v>
      </c>
      <c r="J4" s="1" t="s">
        <v>22</v>
      </c>
    </row>
    <row r="5" spans="2:10" ht="30" x14ac:dyDescent="0.25">
      <c r="B5" s="2">
        <v>45006</v>
      </c>
      <c r="C5" s="3">
        <v>45006.958333333336</v>
      </c>
      <c r="D5" s="3">
        <v>45007.104166666664</v>
      </c>
      <c r="E5" s="3">
        <v>0</v>
      </c>
      <c r="F5" s="3">
        <f>(DayAndNightLogs4[[#This Row],[End Time]]-DayAndNightLogs4[[#This Row],[Start Time]])-DayAndNightLogs4[[#This Row],[Break Time]]</f>
        <v>0.14583333332848269</v>
      </c>
      <c r="G5" s="3">
        <v>0.125</v>
      </c>
      <c r="H5" s="4">
        <f>SUM($F$3:F5)/SUM($G$3:G5)</f>
        <v>0.89230769229873741</v>
      </c>
      <c r="I5" s="3">
        <f>SUM(DayAndNightLogs4[[#This Row],[Duration]]*DayAndNightLogs4[[#This Row],[Error %]])</f>
        <v>0.13012820512257095</v>
      </c>
      <c r="J5" s="1" t="s">
        <v>23</v>
      </c>
    </row>
    <row r="6" spans="2:10" x14ac:dyDescent="0.25">
      <c r="B6" s="2"/>
      <c r="C6" s="3"/>
      <c r="D6" s="3"/>
      <c r="E6" s="3">
        <v>0</v>
      </c>
      <c r="F6" s="3">
        <f>(DayAndNightLogs4[[#This Row],[End Time]]-DayAndNightLogs4[[#This Row],[Start Time]])-DayAndNightLogs4[[#This Row],[Break Time]]</f>
        <v>0</v>
      </c>
      <c r="G6" s="3">
        <v>0</v>
      </c>
      <c r="H6" s="4">
        <f>SUM($F$3:F6)/SUM($G$3:G6)</f>
        <v>0.89230769229873741</v>
      </c>
      <c r="I6" s="3">
        <f>SUM(DayAndNightLogs4[[#This Row],[Duration]]*DayAndNightLogs4[[#This Row],[Error %]])</f>
        <v>0</v>
      </c>
      <c r="J6" s="5"/>
    </row>
    <row r="7" spans="2:10" x14ac:dyDescent="0.25">
      <c r="B7" s="2"/>
      <c r="C7" s="3"/>
      <c r="D7" s="3"/>
      <c r="E7" s="3">
        <v>0</v>
      </c>
      <c r="F7" s="3">
        <f>(DayAndNightLogs4[[#This Row],[End Time]]-DayAndNightLogs4[[#This Row],[Start Time]])-DayAndNightLogs4[[#This Row],[Break Time]]</f>
        <v>0</v>
      </c>
      <c r="G7" s="3">
        <v>0</v>
      </c>
      <c r="H7" s="4">
        <f>SUM($F$3:F7)/SUM($G$3:G7)</f>
        <v>0.89230769229873741</v>
      </c>
      <c r="I7" s="3">
        <f>SUM(DayAndNightLogs4[[#This Row],[Duration]]*DayAndNightLogs4[[#This Row],[Error %]])</f>
        <v>0</v>
      </c>
      <c r="J7" s="1"/>
    </row>
    <row r="8" spans="2:10" x14ac:dyDescent="0.25">
      <c r="B8" s="2"/>
      <c r="C8" s="3"/>
      <c r="D8" s="3"/>
      <c r="E8" s="3">
        <v>0</v>
      </c>
      <c r="F8" s="3">
        <f>(DayAndNightLogs4[[#This Row],[End Time]]-DayAndNightLogs4[[#This Row],[Start Time]])-DayAndNightLogs4[[#This Row],[Break Time]]</f>
        <v>0</v>
      </c>
      <c r="G8" s="3">
        <v>0</v>
      </c>
      <c r="H8" s="4">
        <f>SUM($F$3:F8)/SUM($G$3:G8)</f>
        <v>0.89230769229873741</v>
      </c>
      <c r="I8" s="3">
        <f>SUM(DayAndNightLogs4[[#This Row],[Duration]]*DayAndNightLogs4[[#This Row],[Error %]])</f>
        <v>0</v>
      </c>
      <c r="J8" s="1"/>
    </row>
    <row r="9" spans="2:10" x14ac:dyDescent="0.25">
      <c r="B9" s="2"/>
      <c r="C9" s="3"/>
      <c r="D9" s="3"/>
      <c r="E9" s="3">
        <v>0</v>
      </c>
      <c r="F9" s="3">
        <f>(DayAndNightLogs4[[#This Row],[End Time]]-DayAndNightLogs4[[#This Row],[Start Time]])-DayAndNightLogs4[[#This Row],[Break Time]]</f>
        <v>0</v>
      </c>
      <c r="G9" s="3">
        <v>0</v>
      </c>
      <c r="H9" s="4">
        <f>SUM($F$3:F9)/SUM($G$3:G9)</f>
        <v>0.89230769229873741</v>
      </c>
      <c r="I9" s="3">
        <f>SUM(DayAndNightLogs4[[#This Row],[Duration]]*DayAndNightLogs4[[#This Row],[Error %]])</f>
        <v>0</v>
      </c>
      <c r="J9" s="1"/>
    </row>
    <row r="10" spans="2:10" x14ac:dyDescent="0.25">
      <c r="B10" s="2"/>
      <c r="C10" s="3"/>
      <c r="D10" s="3"/>
      <c r="E10" s="3">
        <v>0</v>
      </c>
      <c r="F10" s="3">
        <f>(DayAndNightLogs4[[#This Row],[End Time]]-DayAndNightLogs4[[#This Row],[Start Time]])-DayAndNightLogs4[[#This Row],[Break Time]]</f>
        <v>0</v>
      </c>
      <c r="G10" s="3">
        <v>0</v>
      </c>
      <c r="H10" s="4">
        <f>SUM($F$3:F10)/SUM($G$3:G10)</f>
        <v>0.89230769229873741</v>
      </c>
      <c r="I10" s="3">
        <f>SUM(DayAndNightLogs4[[#This Row],[Duration]]*DayAndNightLogs4[[#This Row],[Error %]])</f>
        <v>0</v>
      </c>
      <c r="J10" s="1"/>
    </row>
    <row r="11" spans="2:10" x14ac:dyDescent="0.25">
      <c r="B11" s="2"/>
      <c r="C11" s="3"/>
      <c r="D11" s="3"/>
      <c r="E11" s="3">
        <v>0</v>
      </c>
      <c r="F11" s="3">
        <f>(DayAndNightLogs4[[#This Row],[End Time]]-DayAndNightLogs4[[#This Row],[Start Time]])-DayAndNightLogs4[[#This Row],[Break Time]]</f>
        <v>0</v>
      </c>
      <c r="G11" s="3">
        <v>0</v>
      </c>
      <c r="H11" s="4">
        <f>SUM($F$3:F11)/SUM($G$3:G11)</f>
        <v>0.89230769229873741</v>
      </c>
      <c r="I11" s="3">
        <f>SUM(DayAndNightLogs4[[#This Row],[Duration]]*DayAndNightLogs4[[#This Row],[Error %]])</f>
        <v>0</v>
      </c>
      <c r="J11" s="1"/>
    </row>
    <row r="12" spans="2:10" x14ac:dyDescent="0.25">
      <c r="B12" s="2"/>
      <c r="C12" s="3"/>
      <c r="D12" s="3"/>
      <c r="E12" s="3">
        <v>0</v>
      </c>
      <c r="F12" s="3">
        <f>(DayAndNightLogs4[[#This Row],[End Time]]-DayAndNightLogs4[[#This Row],[Start Time]])-DayAndNightLogs4[[#This Row],[Break Time]]</f>
        <v>0</v>
      </c>
      <c r="G12" s="3">
        <v>0</v>
      </c>
      <c r="H12" s="4">
        <f>SUM($F$3:F12)/SUM($G$3:G12)</f>
        <v>0.89230769229873741</v>
      </c>
      <c r="I12" s="3">
        <f>SUM(DayAndNightLogs4[[#This Row],[Duration]]*DayAndNightLogs4[[#This Row],[Error %]])</f>
        <v>0</v>
      </c>
      <c r="J12" s="1"/>
    </row>
    <row r="13" spans="2:10" x14ac:dyDescent="0.25">
      <c r="B13" s="2"/>
      <c r="C13" s="3"/>
      <c r="D13" s="3"/>
      <c r="E13" s="3">
        <v>0</v>
      </c>
      <c r="F13" s="3">
        <f>(DayAndNightLogs4[[#This Row],[End Time]]-DayAndNightLogs4[[#This Row],[Start Time]])-DayAndNightLogs4[[#This Row],[Break Time]]</f>
        <v>0</v>
      </c>
      <c r="G13" s="3">
        <v>0</v>
      </c>
      <c r="H13" s="4">
        <f>SUM($F$3:F13)/SUM($G$3:G13)</f>
        <v>0.89230769229873741</v>
      </c>
      <c r="I13" s="3">
        <f>SUM(DayAndNightLogs4[[#This Row],[Duration]]*DayAndNightLogs4[[#This Row],[Error %]])</f>
        <v>0</v>
      </c>
      <c r="J13" s="1"/>
    </row>
    <row r="14" spans="2:10" x14ac:dyDescent="0.25">
      <c r="B14" s="2"/>
      <c r="C14" s="3"/>
      <c r="D14" s="3"/>
      <c r="E14" s="3">
        <v>0</v>
      </c>
      <c r="F14" s="3">
        <f>(DayAndNightLogs4[[#This Row],[End Time]]-DayAndNightLogs4[[#This Row],[Start Time]])-DayAndNightLogs4[[#This Row],[Break Time]]</f>
        <v>0</v>
      </c>
      <c r="G14" s="3">
        <v>0</v>
      </c>
      <c r="H14" s="4">
        <f>SUM($F$3:F14)/SUM($G$3:G14)</f>
        <v>0.89230769229873741</v>
      </c>
      <c r="I14" s="3">
        <f>SUM(DayAndNightLogs4[[#This Row],[Duration]]*DayAndNightLogs4[[#This Row],[Error %]])</f>
        <v>0</v>
      </c>
      <c r="J14" s="1"/>
    </row>
    <row r="15" spans="2:10" x14ac:dyDescent="0.25">
      <c r="B15" s="2"/>
      <c r="C15" s="3"/>
      <c r="D15" s="3"/>
      <c r="E15" s="3">
        <v>0</v>
      </c>
      <c r="F15" s="3">
        <f>(DayAndNightLogs4[[#This Row],[End Time]]-DayAndNightLogs4[[#This Row],[Start Time]])-DayAndNightLogs4[[#This Row],[Break Time]]</f>
        <v>0</v>
      </c>
      <c r="G15" s="3">
        <v>0</v>
      </c>
      <c r="H15" s="4">
        <f>SUM($F$3:F15)/SUM($G$3:G15)</f>
        <v>0.89230769229873741</v>
      </c>
      <c r="I15" s="3">
        <f>SUM(DayAndNightLogs4[[#This Row],[Duration]]*DayAndNightLogs4[[#This Row],[Error %]])</f>
        <v>0</v>
      </c>
      <c r="J15" s="1"/>
    </row>
    <row r="16" spans="2:10" x14ac:dyDescent="0.25">
      <c r="B16" s="2"/>
      <c r="C16" s="3"/>
      <c r="D16" s="3"/>
      <c r="E16" s="3">
        <v>0</v>
      </c>
      <c r="F16" s="3">
        <f>(DayAndNightLogs4[[#This Row],[End Time]]-DayAndNightLogs4[[#This Row],[Start Time]])-DayAndNightLogs4[[#This Row],[Break Time]]</f>
        <v>0</v>
      </c>
      <c r="G16" s="3">
        <v>0</v>
      </c>
      <c r="H16" s="4">
        <f>SUM($F$3:F16)/SUM($G$3:G16)</f>
        <v>0.89230769229873741</v>
      </c>
      <c r="I16" s="3">
        <f>SUM(DayAndNightLogs4[[#This Row],[Duration]]*DayAndNightLogs4[[#This Row],[Error %]])</f>
        <v>0</v>
      </c>
      <c r="J16" s="1"/>
    </row>
    <row r="17" spans="2:10" x14ac:dyDescent="0.25">
      <c r="B17" s="2"/>
      <c r="C17" s="3"/>
      <c r="D17" s="3"/>
      <c r="E17" s="3">
        <v>0</v>
      </c>
      <c r="F17" s="3">
        <f>(DayAndNightLogs4[[#This Row],[End Time]]-DayAndNightLogs4[[#This Row],[Start Time]])-DayAndNightLogs4[[#This Row],[Break Time]]</f>
        <v>0</v>
      </c>
      <c r="G17" s="3">
        <v>0</v>
      </c>
      <c r="H17" s="4">
        <f>SUM($F$3:F17)/SUM($G$3:G17)</f>
        <v>0.89230769229873741</v>
      </c>
      <c r="I17" s="3">
        <f>SUM(DayAndNightLogs4[[#This Row],[Duration]]*DayAndNightLogs4[[#This Row],[Error %]])</f>
        <v>0</v>
      </c>
      <c r="J17" s="1"/>
    </row>
    <row r="18" spans="2:10" x14ac:dyDescent="0.25">
      <c r="B18" s="2"/>
      <c r="C18" s="3"/>
      <c r="D18" s="3"/>
      <c r="E18" s="3">
        <v>0</v>
      </c>
      <c r="F18" s="3">
        <f>(DayAndNightLogs4[[#This Row],[End Time]]-DayAndNightLogs4[[#This Row],[Start Time]])-DayAndNightLogs4[[#This Row],[Break Time]]</f>
        <v>0</v>
      </c>
      <c r="G18" s="3">
        <v>0</v>
      </c>
      <c r="H18" s="4">
        <f>SUM($F$3:F18)/SUM($G$3:G18)</f>
        <v>0.89230769229873741</v>
      </c>
      <c r="I18" s="3">
        <f>SUM(DayAndNightLogs4[[#This Row],[Duration]]*DayAndNightLogs4[[#This Row],[Error %]])</f>
        <v>0</v>
      </c>
      <c r="J18" s="1"/>
    </row>
    <row r="19" spans="2:10" x14ac:dyDescent="0.25">
      <c r="B19" s="2"/>
      <c r="C19" s="3"/>
      <c r="D19" s="3"/>
      <c r="E19" s="3">
        <v>0</v>
      </c>
      <c r="F19" s="3">
        <f>(DayAndNightLogs4[[#This Row],[End Time]]-DayAndNightLogs4[[#This Row],[Start Time]])-DayAndNightLogs4[[#This Row],[Break Time]]</f>
        <v>0</v>
      </c>
      <c r="G19" s="3">
        <v>0</v>
      </c>
      <c r="H19" s="4">
        <f>SUM($F$3:F19)/SUM($G$3:G19)</f>
        <v>0.89230769229873741</v>
      </c>
      <c r="I19" s="3">
        <f>SUM(DayAndNightLogs4[[#This Row],[Duration]]*DayAndNightLogs4[[#This Row],[Error %]])</f>
        <v>0</v>
      </c>
      <c r="J19" s="1"/>
    </row>
    <row r="20" spans="2:10" x14ac:dyDescent="0.25">
      <c r="B20" s="2"/>
      <c r="C20" s="3"/>
      <c r="D20" s="3"/>
      <c r="E20" s="3">
        <v>0</v>
      </c>
      <c r="F20" s="3">
        <f>(DayAndNightLogs4[[#This Row],[End Time]]-DayAndNightLogs4[[#This Row],[Start Time]])-DayAndNightLogs4[[#This Row],[Break Time]]</f>
        <v>0</v>
      </c>
      <c r="G20" s="3">
        <v>0</v>
      </c>
      <c r="H20" s="4">
        <f>SUM($F$3:F20)/SUM($G$3:G20)</f>
        <v>0.89230769229873741</v>
      </c>
      <c r="I20" s="3">
        <f>SUM(DayAndNightLogs4[[#This Row],[Duration]]*DayAndNightLogs4[[#This Row],[Error %]])</f>
        <v>0</v>
      </c>
      <c r="J20" s="1"/>
    </row>
    <row r="21" spans="2:10" x14ac:dyDescent="0.25">
      <c r="B21" s="2"/>
      <c r="C21" s="3"/>
      <c r="D21" s="3"/>
      <c r="E21" s="3">
        <v>0</v>
      </c>
      <c r="F21" s="3">
        <f>(DayAndNightLogs4[[#This Row],[End Time]]-DayAndNightLogs4[[#This Row],[Start Time]])-DayAndNightLogs4[[#This Row],[Break Time]]</f>
        <v>0</v>
      </c>
      <c r="G21" s="3">
        <v>0</v>
      </c>
      <c r="H21" s="4">
        <f>SUM($F$3:F21)/SUM($G$3:G21)</f>
        <v>0.89230769229873741</v>
      </c>
      <c r="I21" s="3">
        <f>SUM(DayAndNightLogs4[[#This Row],[Duration]]*DayAndNightLogs4[[#This Row],[Error %]])</f>
        <v>0</v>
      </c>
      <c r="J21" s="1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Crafting System</vt:lpstr>
      <vt:lpstr>Terrain Generation</vt:lpstr>
      <vt:lpstr>Day &amp; Night Cycle</vt:lpstr>
      <vt:lpstr>ItemWeapon System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Bailey, Lewis Charles 10</dc:creator>
  <cp:lastModifiedBy>Lewis</cp:lastModifiedBy>
  <dcterms:created xsi:type="dcterms:W3CDTF">2023-01-31T10:07:37Z</dcterms:created>
  <dcterms:modified xsi:type="dcterms:W3CDTF">2023-04-01T21:18:18Z</dcterms:modified>
</cp:coreProperties>
</file>